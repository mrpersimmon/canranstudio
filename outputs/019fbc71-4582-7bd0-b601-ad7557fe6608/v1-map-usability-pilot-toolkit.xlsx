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a82699dccc48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3734caeb601547e1"/>
    <x:sheet xmlns:r="http://schemas.openxmlformats.org/officeDocument/2006/relationships" name="汇总判定" sheetId="2" r:id="Rab6e3a1cef2943a7"/>
    <x:sheet xmlns:r="http://schemas.openxmlformats.org/officeDocument/2006/relationships" name="任务脚本" sheetId="3" r:id="Rc6ac18a68e9f4b3d"/>
    <x:sheet xmlns:r="http://schemas.openxmlformats.org/officeDocument/2006/relationships" name="第一轮观察" sheetId="4" r:id="Rbff36d3054b540ec"/>
    <x:sheet xmlns:r="http://schemas.openxmlformats.org/officeDocument/2006/relationships" name="第二轮观察" sheetId="5" r:id="Rfe373d051f67479a"/>
    <x:sheet xmlns:r="http://schemas.openxmlformats.org/officeDocument/2006/relationships" name="问题记录" sheetId="7" r:id="R6643d0874ead45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"/>
    <x:numFmt numFmtId="202" formatCode="yyyy-mm-dd"/>
  </x:numFmts>
  <x:fonts count="12">
    <x:font>
      <x:sz val="11"/>
      <x:name val="Carlito"/>
    </x:font>
    <x:font>
      <x:b/>
      <x:sz val="18"/>
      <x:color rgb="FFFFFFFF"/>
      <x:name val="Carlito"/>
    </x:font>
    <x:font>
      <x:sz val="10"/>
      <x:color rgb="FF765E4A"/>
      <x:name val="Carlito"/>
    </x:font>
    <x:font>
      <x:b/>
      <x:sz val="12"/>
      <x:color rgb="FF38281F"/>
      <x:name val="Carlito"/>
    </x:font>
    <x:font>
      <x:b/>
      <x:sz val="11"/>
      <x:color rgb="FF38281F"/>
      <x:name val="Carlito"/>
    </x:font>
    <x:font>
      <x:b/>
      <x:sz val="10"/>
      <x:color rgb="FF38281F"/>
      <x:name val="Carlito"/>
    </x:font>
    <x:font>
      <x:sz val="10"/>
      <x:color rgb="FF38281F"/>
      <x:name val="Carlito"/>
    </x:font>
    <x:font>
      <x:b/>
      <x:sz val="10"/>
      <x:color rgb="FFFFFFFF"/>
      <x:name val="Carlito"/>
    </x:font>
    <x:font>
      <x:b/>
      <x:sz val="11"/>
      <x:color rgb="FF278BC4"/>
      <x:name val="Carlito"/>
    </x:font>
    <x:font>
      <x:b/>
      <x:sz val="11"/>
      <x:color rgb="FFFFFFFF"/>
      <x:name val="Carlito"/>
    </x:font>
    <x:font>
      <x:b/>
      <x:sz val="15"/>
      <x:color rgb="FF278BC4"/>
      <x:name val="Carlito"/>
    </x:font>
    <x:font>
      <x:sz val="11"/>
      <x:color rgb="FF8E1B1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38281F"/>
      </x:patternFill>
    </x:fill>
    <x:fill>
      <x:patternFill patternType="solid">
        <x:fgColor rgb="FFFFF0DB"/>
      </x:patternFill>
    </x:fill>
    <x:fill>
      <x:patternFill patternType="solid">
        <x:fgColor rgb="FFF6B83E"/>
      </x:patternFill>
    </x:fill>
    <x:fill>
      <x:patternFill patternType="solid">
        <x:fgColor rgb="FFFFFEFA"/>
      </x:patternFill>
    </x:fill>
    <x:fill>
      <x:patternFill patternType="solid">
        <x:fgColor rgb="FFFFF6CC"/>
      </x:patternFill>
    </x:fill>
    <x:fill>
      <x:patternFill patternType="solid">
        <x:fgColor rgb="FFE7F4FB"/>
      </x:patternFill>
    </x:fill>
    <x:fill>
      <x:patternFill patternType="solid">
        <x:fgColor rgb="FFFDE2DC"/>
      </x:patternFill>
    </x:fill>
  </x:fills>
  <x:borders count="4">
    <x:border/>
    <x:border>
      <x:bottom style="thin">
        <x:color rgb="FFE7E1D8"/>
      </x:bottom>
    </x:border>
    <x:border>
      <x:top style="thin">
        <x:color rgb="FFE7E1D8"/>
      </x:top>
      <x:bottom style="thin">
        <x:color rgb="FFE7E1D8"/>
      </x:bottom>
    </x:border>
    <x:border>
      <x:bottom style="medium">
        <x:color rgb="FF38281F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5" borderId="0" xfId="0" applyNumberFormat="1" applyFont="1" applyFill="1" applyBorder="1"/>
    <x:xf numFmtId="0" fontId="5" fillId="5" borderId="1" xfId="0" applyNumberFormat="1" applyFont="1" applyFill="1" applyBorder="1"/>
    <x:xf numFmtId="0" fontId="6" fillId="5" borderId="1" xfId="0" applyNumberFormat="1" applyFont="1" applyFill="1" applyBorder="1"/>
    <x:xf numFmtId="0" fontId="5" fillId="5" borderId="2" xfId="0" applyNumberFormat="1" applyFont="1" applyFill="1" applyBorder="1"/>
    <x:xf numFmtId="0" fontId="6" fillId="5" borderId="2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3" xfId="0" applyNumberFormat="1" applyFont="1" applyFill="1" applyBorder="1"/>
    <x:xf numFmtId="0" fontId="7" fillId="2" borderId="3" xfId="0" applyNumberFormat="1" applyFont="1" applyFill="1" applyBorder="1" applyAlignment="1">
      <x:alignment wrapText="1"/>
    </x:xf>
    <x:xf numFmtId="0" fontId="7" fillId="2" borderId="3" xfId="0" applyNumberFormat="1" applyFont="1" applyFill="1" applyBorder="1" applyAlignment="1">
      <x:alignment horizontal="center" wrapText="1"/>
    </x:xf>
    <x:xf numFmtId="0" fontId="7" fillId="2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200" fontId="8" fillId="6" borderId="0" xfId="0" applyNumberFormat="1" applyFont="1" applyFill="1" applyBorder="1"/>
    <x:xf numFmtId="201" fontId="8" fillId="6" borderId="0" xfId="0" applyNumberFormat="1" applyFont="1" applyFill="1" applyBorder="1"/>
    <x:xf numFmtId="200" fontId="6" fillId="5" borderId="2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202" fontId="6" fillId="5" borderId="1" xfId="0" applyNumberFormat="1" applyFont="1" applyFill="1" applyBorder="1" applyAlignment="1">
      <x:alignment vertical="center" wrapText="1"/>
    </x:xf>
    <x:xf numFmtId="202" fontId="6" fillId="5" borderId="2" xfId="0" applyNumberFormat="1" applyFont="1" applyFill="1" applyBorder="1" applyAlignment="1">
      <x:alignment vertical="center" wrapText="1"/>
    </x:xf>
    <x:xf numFmtId="201" fontId="6" fillId="5" borderId="1" xfId="0" applyNumberFormat="1" applyFont="1" applyFill="1" applyBorder="1" applyAlignment="1">
      <x:alignment vertical="center" wrapText="1"/>
    </x:xf>
    <x:xf numFmtId="201" fontId="6" fillId="5" borderId="2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8">
    <x:dxf>
      <x:font>
        <x:b/>
        <x:color rgb="FF2F6D34"/>
      </x:font>
      <x:fill>
        <x:patternFill>
          <x:bgColor rgb="FFE5F4E6"/>
        </x:patternFill>
      </x:fill>
    </x:dxf>
    <x:dxf>
      <x:font>
        <x:b/>
        <x:color rgb="FFA52F26"/>
      </x:font>
      <x:fill>
        <x:patternFill>
          <x:bgColor rgb="FFFDE2DC"/>
        </x:patternFill>
      </x:fill>
    </x:dxf>
    <x:dxf>
      <x:font>
        <x:b/>
        <x:color rgb="FF2F6D34"/>
      </x:font>
      <x:fill>
        <x:patternFill>
          <x:bgColor rgb="FFE5F4E6"/>
        </x:patternFill>
      </x:fill>
    </x:dxf>
    <x:dxf>
      <x:font>
        <x:b/>
        <x:color rgb="FFA52F26"/>
      </x:font>
      <x:fill>
        <x:patternFill>
          <x:bgColor rgb="FFFDE2DC"/>
        </x:patternFill>
      </x:fill>
    </x:dxf>
    <x:dxf>
      <x:font>
        <x:b/>
        <x:color rgb="FF2F6D34"/>
      </x:font>
      <x:fill>
        <x:patternFill>
          <x:bgColor rgb="FFE5F4E6"/>
        </x:patternFill>
      </x:fill>
    </x:dxf>
    <x:dxf>
      <x:font>
        <x:b/>
        <x:color rgb="FFA52F26"/>
      </x:font>
      <x:fill>
        <x:patternFill>
          <x:bgColor rgb="FFFDE2DC"/>
        </x:patternFill>
      </x:fill>
    </x:dxf>
    <x:dxf>
      <x:font>
        <x:b/>
        <x:color rgb="FF2F6D34"/>
      </x:font>
      <x:fill>
        <x:patternFill>
          <x:bgColor rgb="FFE5F4E6"/>
        </x:patternFill>
      </x:fill>
    </x:dxf>
    <x:dxf>
      <x:font>
        <x:b/>
        <x:color rgb="FFA52F26"/>
      </x:font>
      <x:fill>
        <x:patternFill>
          <x:bgColor rgb="FFFDE2DC"/>
        </x:patternFill>
      </x:fill>
    </x:dxf>
    <x:dxf>
      <x:font>
        <x:b/>
        <x:color rgb="FF2F6D34"/>
      </x:font>
      <x:fill>
        <x:patternFill>
          <x:bgColor rgb="FFE5F4E6"/>
        </x:patternFill>
      </x:fill>
    </x:dxf>
    <x:dxf>
      <x:font>
        <x:b/>
        <x:color rgb="FFA52F26"/>
      </x:font>
      <x:fill>
        <x:patternFill>
          <x:bgColor rgb="FFFDE2DC"/>
        </x:patternFill>
      </x:fill>
    </x:dxf>
    <x:dxf>
      <x:font>
        <x:b/>
        <x:color rgb="FFFFFFFF"/>
      </x:font>
      <x:fill>
        <x:patternFill>
          <x:bgColor rgb="FF8E1B16"/>
        </x:patternFill>
      </x:fill>
    </x:dxf>
    <x:dxf>
      <x:font>
        <x:b/>
        <x:color rgb="FFFFFFFF"/>
      </x:font>
      <x:fill>
        <x:patternFill>
          <x:bgColor rgb="FFEF5141"/>
        </x:patternFill>
      </x:fill>
    </x:dxf>
    <x:dxf>
      <x:font>
        <x:b/>
        <x:color rgb="FF38281F"/>
      </x:font>
      <x:fill>
        <x:patternFill>
          <x:bgColor rgb="FFFFE1A6"/>
        </x:patternFill>
      </x:fill>
    </x:dxf>
    <x:dxf>
      <x:font>
        <x:b/>
        <x:color rgb="FF2F6D34"/>
      </x:font>
      <x:fill>
        <x:patternFill>
          <x:bgColor rgb="FFE5F4E6"/>
        </x:patternFill>
      </x:fill>
    </x:dxf>
    <x:dxf>
      <x:font>
        <x:b/>
        <x:color rgb="FFA52F26"/>
      </x:font>
      <x:fill>
        <x:patternFill>
          <x:bgColor rgb="FFFDE2DC"/>
        </x:patternFill>
      </x:fill>
    </x:dxf>
    <x:dxf>
      <x:font>
        <x:b/>
        <x:color rgb="FFFFFFFF"/>
      </x:font>
      <x:fill>
        <x:patternFill>
          <x:bgColor rgb="FF8E1B16"/>
        </x:patternFill>
      </x:fill>
    </x:dxf>
    <x:dxf>
      <x:font>
        <x:b/>
        <x:color rgb="FFFFFFFF"/>
      </x:font>
      <x:fill>
        <x:patternFill>
          <x:bgColor rgb="FFEF5141"/>
        </x:patternFill>
      </x:fill>
    </x:dxf>
    <x:dxf>
      <x:font>
        <x:b/>
        <x:color rgb="FF38281F"/>
      </x:font>
      <x:fill>
        <x:patternFill>
          <x:bgColor rgb="FFFFE1A6"/>
        </x:patternFill>
      </x:fill>
    </x:dxf>
    <x:dxf>
      <x:font>
        <x:b/>
        <x:color rgb="FF2F6D34"/>
      </x:font>
      <x:fill>
        <x:patternFill>
          <x:bgColor rgb="FFE5F4E6"/>
        </x:patternFill>
      </x:fill>
    </x:dxf>
    <x:dxf>
      <x:font>
        <x:b/>
        <x:color rgb="FFA52F26"/>
      </x:font>
      <x:fill>
        <x:patternFill>
          <x:bgColor rgb="FFFDE2DC"/>
        </x:patternFill>
      </x:fill>
    </x:dxf>
    <x:dxf>
      <x:font>
        <x:b/>
        <x:color rgb="FFFFFFFF"/>
      </x:font>
      <x:fill>
        <x:patternFill>
          <x:bgColor rgb="FF8E1B16"/>
        </x:patternFill>
      </x:fill>
    </x:dxf>
    <x:dxf>
      <x:font>
        <x:b/>
        <x:color rgb="FFFFFFFF"/>
      </x:font>
      <x:fill>
        <x:patternFill>
          <x:bgColor rgb="FFEF5141"/>
        </x:patternFill>
      </x:fill>
    </x:dxf>
    <x:dxf>
      <x:font>
        <x:b/>
        <x:color rgb="FF38281F"/>
      </x:font>
      <x:fill>
        <x:patternFill>
          <x:bgColor rgb="FFFFE1A6"/>
        </x:patternFill>
      </x:fill>
    </x:dxf>
    <x:dxf>
      <x:font>
        <x:b/>
        <x:color rgb="FFFFFFFF"/>
      </x:font>
      <x:fill>
        <x:patternFill>
          <x:bgColor rgb="FF8E1B16"/>
        </x:patternFill>
      </x:fill>
    </x:dxf>
    <x:dxf>
      <x:font>
        <x:b/>
        <x:color rgb="FFFFFFFF"/>
      </x:font>
      <x:fill>
        <x:patternFill>
          <x:bgColor rgb="FFEF5141"/>
        </x:patternFill>
      </x:fill>
    </x:dxf>
    <x:dxf>
      <x:font>
        <x:b/>
        <x:color rgb="FF38281F"/>
      </x:font>
      <x:fill>
        <x:patternFill>
          <x:bgColor rgb="FFFFE1A6"/>
        </x:patternFill>
      </x:fill>
    </x:dxf>
    <x:dxf>
      <x:font>
        <x:b/>
        <x:color rgb="FF2F6D34"/>
      </x:font>
      <x:fill>
        <x:patternFill>
          <x:bgColor rgb="FFE5F4E6"/>
        </x:patternFill>
      </x:fill>
    </x:dxf>
    <x:dxf>
      <x:font>
        <x:b/>
        <x:color rgb="FFA52F26"/>
      </x:font>
      <x:fill>
        <x:patternFill>
          <x:bgColor rgb="FFFDE2DC"/>
        </x:patternFill>
      </x:fill>
    </x:dxf>
  </x:dxfs>
</x: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1e3a1558f4d04559"/><Relationship Type="http://schemas.openxmlformats.org/officeDocument/2006/relationships/theme" Target="/xl/theme/theme1.xml" Id="R72bbffe96fd44694"/><Relationship Type="http://schemas.openxmlformats.org/officeDocument/2006/relationships/sharedStrings" Target="/xl/sharedStrings.xml" Id="Rad00370ff9844b5c"/><Relationship Type="http://schemas.openxmlformats.org/officeDocument/2006/relationships/worksheet" Target="/xl/worksheets/sheet1.xml" Id="R3734caeb601547e1"/><Relationship Type="http://schemas.openxmlformats.org/officeDocument/2006/relationships/worksheet" Target="/xl/worksheets/sheet2.xml" Id="Rab6e3a1cef2943a7"/><Relationship Type="http://schemas.openxmlformats.org/officeDocument/2006/relationships/worksheet" Target="/xl/worksheets/sheet3.xml" Id="Rc6ac18a68e9f4b3d"/><Relationship Type="http://schemas.openxmlformats.org/officeDocument/2006/relationships/worksheet" Target="/xl/worksheets/sheet4.xml" Id="Rbff36d3054b540ec"/><Relationship Type="http://schemas.openxmlformats.org/officeDocument/2006/relationships/worksheet" Target="/xl/worksheets/sheet5.xml" Id="Rfe373d051f67479a"/><Relationship Type="http://schemas.openxmlformats.org/officeDocument/2006/relationships/worksheet" Target="/xl/worksheets/sheet7.xml" Id="R6643d0874ead45b9"/></Relationships>
</file>

<file path=xl/tables/table1.xml><?xml version="1.0" encoding="utf-8"?>
<x:table xmlns:x="http://schemas.openxmlformats.org/spreadsheetml/2006/main" id="1" name="RoundOneObservations" displayName="RoundOneObservations" ref="A4:M12" headerRowCount="1" totalsRowCount="0" totalsRowShown="0">
  <x:tableColumns count="13">
    <x:tableColumn id="1" name="记录行"/>
    <x:tableColumn id="2" name="日期"/>
    <x:tableColumn id="3" name="平台类别"/>
    <x:tableColumn id="4" name="独立找到推荐课程"/>
    <x:tableColumn id="5" name="用时（秒）"/>
    <x:tableColumn id="6" name="30秒内独立找到"/>
    <x:tableColumn id="7" name="区分可用/正在绘制"/>
    <x:tableColumn id="8" name="理解一次地图成长"/>
    <x:tableColumn id="9" name="三项均达标"/>
    <x:tableColumn id="10" name="求助次数"/>
    <x:tableColumn id="11" name="任务完成情况"/>
    <x:tableColumn id="12" name="最高严重度"/>
    <x:tableColumn id="13" name="观察备注（不要写姓名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undTwoObservations" displayName="RoundTwoObservations" ref="A4:M34" headerRowCount="1" totalsRowCount="0" totalsRowShown="0">
  <x:tableColumns count="13">
    <x:tableColumn id="1" name="记录行"/>
    <x:tableColumn id="2" name="日期"/>
    <x:tableColumn id="3" name="平台类别"/>
    <x:tableColumn id="4" name="独立找到推荐课程"/>
    <x:tableColumn id="5" name="用时（秒）"/>
    <x:tableColumn id="6" name="30秒内独立找到"/>
    <x:tableColumn id="7" name="区分可用/正在绘制"/>
    <x:tableColumn id="8" name="理解一次地图成长"/>
    <x:tableColumn id="9" name="三项均达标"/>
    <x:tableColumn id="10" name="求助次数"/>
    <x:tableColumn id="11" name="任务完成情况"/>
    <x:tableColumn id="12" name="最高严重度"/>
    <x:tableColumn id="13" name="观察备注（不要写姓名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ilotIssues" displayName="PilotIssues" ref="A4:M44" headerRowCount="1" totalsRowCount="0" totalsRowShown="0">
  <x:tableColumns count="13">
    <x:tableColumn id="1" name="问题行"/>
    <x:tableColumn id="2" name="轮次"/>
    <x:tableColumn id="3" name="日期"/>
    <x:tableColumn id="4" name="任务步骤"/>
    <x:tableColumn id="5" name="平台类别"/>
    <x:tableColumn id="6" name="严重度"/>
    <x:tableColumn id="7" name="阻塞多数使用者"/>
    <x:tableColumn id="8" name="复现步骤"/>
    <x:tableColumn id="9" name="期望结果"/>
    <x:tableColumn id="10" name="实际结果"/>
    <x:tableColumn id="11" name="证据位置（内部）"/>
    <x:tableColumn id="12" name="状态"/>
    <x:tableColumn id="13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40898af2b64242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78f90637b5ac4f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10a6773fe91845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43.33000183105469" hidden="0" customWidth="1"/>
    <x:col min="3" max="3" width="35.560001373291016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</x:cols>
  <x:sheetData>
    <x:row r="1" ht="33" customHeight="1">
      <x:c r="A1" s="4" t="str">
        <x:v>冒险地图 V1 · 两轮可用性试用工具包</x:v>
      </x:c>
      <x:c r="B1" s="4" t="str">
        <x:v>冒险地图 V1 · 两轮可用性试用工具包</x:v>
      </x:c>
      <x:c r="C1" s="4" t="str">
        <x:v>冒险地图 V1 · 两轮可用性试用工具包</x:v>
      </x:c>
      <x:c r="D1" s="4" t="str">
        <x:v>冒险地图 V1 · 两轮可用性试用工具包</x:v>
      </x:c>
      <x:c r="E1" s="4" t="str">
        <x:v>冒险地图 V1 · 两轮可用性试用工具包</x:v>
      </x:c>
      <x:c r="F1" s="4" t="str">
        <x:v>冒险地图 V1 · 两轮可用性试用工具包</x:v>
      </x:c>
      <x:c r="G1" s="4" t="str">
        <x:v>冒险地图 V1 · 两轮可用性试用工具包</x:v>
      </x:c>
      <x:c r="H1" s="4" t="str">
        <x:v>冒险地图 V1 · 两轮可用性试用工具包</x:v>
      </x:c>
    </x:row>
    <x:row r="2" ht="31.5" customHeight="1">
      <x:c r="A2" s="8" t="str">
        <x:v>空白模板｜机构人工执行｜只判断地图是否可理解、可操作；不记录儿童身份，不推断学习效果。</x:v>
      </x:c>
      <x:c r="B2" s="8" t="str">
        <x:v>空白模板｜机构人工执行｜只判断地图是否可理解、可操作；不记录儿童身份，不推断学习效果。</x:v>
      </x:c>
      <x:c r="C2" s="8" t="str">
        <x:v>空白模板｜机构人工执行｜只判断地图是否可理解、可操作；不记录儿童身份，不推断学习效果。</x:v>
      </x:c>
      <x:c r="D2" s="8" t="str">
        <x:v>空白模板｜机构人工执行｜只判断地图是否可理解、可操作；不记录儿童身份，不推断学习效果。</x:v>
      </x:c>
      <x:c r="E2" s="8" t="str">
        <x:v>空白模板｜机构人工执行｜只判断地图是否可理解、可操作；不记录儿童身份，不推断学习效果。</x:v>
      </x:c>
      <x:c r="F2" s="8" t="str">
        <x:v>空白模板｜机构人工执行｜只判断地图是否可理解、可操作；不记录儿童身份，不推断学习效果。</x:v>
      </x:c>
      <x:c r="G2" s="8" t="str">
        <x:v>空白模板｜机构人工执行｜只判断地图是否可理解、可操作；不记录儿童身份，不推断学习效果。</x:v>
      </x:c>
      <x:c r="H2" s="8" t="str">
        <x:v>空白模板｜机构人工执行｜只判断地图是否可理解、可操作；不记录儿童身份，不推断学习效果。</x:v>
      </x:c>
    </x:row>
    <x:row r="4" ht="22.5" customHeight="1">
      <x:c r="A4" s="11" t="str">
        <x:v>先读：这份工具包回答什么</x:v>
      </x:c>
      <x:c r="B4" s="11" t="str">
        <x:v>先读：这份工具包回答什么</x:v>
      </x:c>
      <x:c r="C4" s="11" t="str">
        <x:v>先读：这份工具包回答什么</x:v>
      </x:c>
      <x:c r="D4" s="11" t="str">
        <x:v>先读：这份工具包回答什么</x:v>
      </x:c>
      <x:c r="E4" s="11" t="str">
        <x:v>先读：这份工具包回答什么</x:v>
      </x:c>
      <x:c r="F4" s="11" t="str">
        <x:v>先读：这份工具包回答什么</x:v>
      </x:c>
      <x:c r="G4" s="11" t="str">
        <x:v>先读：这份工具包回答什么</x:v>
      </x:c>
      <x:c r="H4" s="11" t="str">
        <x:v>先读：这份工具包回答什么</x:v>
      </x:c>
    </x:row>
    <x:row r="5" ht="40.5" customHeight="1">
      <x:c r="A5" s="25" t="str">
        <x:v>回答</x:v>
      </x:c>
      <x:c r="B5" s="26" t="str">
        <x:v>孩子能否在 30 秒内独立找到推荐课程、区分可用与正在绘制地点、理解一次地图成长。</x:v>
      </x:c>
    </x:row>
    <x:row r="6" ht="40.5" customHeight="1">
      <x:c r="A6" s="27" t="str">
        <x:v>不回答</x:v>
      </x:c>
      <x:c r="B6" s="28" t="str">
        <x:v>学习效果、长期留存、个人能力、排名、班级比较或儿童画像。</x:v>
      </x:c>
    </x:row>
    <x:row r="7" ht="40.5" customHeight="1">
      <x:c r="A7" s="27" t="str">
        <x:v>执行人</x:v>
      </x:c>
      <x:c r="B7" s="28" t="str">
        <x:v>机构教师或观察员人工执行；本工作簿不会自动采集网站行为。</x:v>
      </x:c>
    </x:row>
    <x:row r="8" ht="40.5" customHeight="1">
      <x:c r="A8" s="27" t="str">
        <x:v>结果状态</x:v>
      </x:c>
      <x:c r="B8" s="28" t="str">
        <x:v>所有结果栏均为空。没有真实执行证据时，汇总只显示 HUMAN_REQUIRED — 待执行。</x:v>
      </x:c>
    </x:row>
    <x:row r="9" ht="40.5" customHeight="1">
      <x:c r="A9" s="27" t="str">
        <x:v>记录行</x:v>
      </x:c>
      <x:c r="B9" s="28" t="str">
        <x:v>表格中的 1–30 只是当次表格行号，不是匿名用户 ID；不得跨表、跨周或跨系统关联。</x:v>
      </x:c>
    </x:row>
    <x:row r="10" ht="40.5" customHeight="1">
      <x:c r="A10" s="27" t="str">
        <x:v>数据边界</x:v>
      </x:c>
      <x:c r="B10" s="28" t="str">
        <x:v>不要填写孩子姓名、学号、班级名单、手机号、账号、设备唯一标识、完整点击流、个人留存或学习成绩。</x:v>
      </x:c>
    </x:row>
    <x:row r="12" ht="22.5" customHeight="1">
      <x:c r="A12" s="11" t="str">
        <x:v>执行顺序</x:v>
      </x:c>
      <x:c r="B12" s="11" t="str">
        <x:v>执行顺序</x:v>
      </x:c>
      <x:c r="C12" s="11" t="str">
        <x:v>执行顺序</x:v>
      </x:c>
      <x:c r="D12" s="11" t="str">
        <x:v>执行顺序</x:v>
      </x:c>
      <x:c r="E12" s="11" t="str">
        <x:v>执行顺序</x:v>
      </x:c>
      <x:c r="F12" s="11" t="str">
        <x:v>执行顺序</x:v>
      </x:c>
      <x:c r="G12" s="11" t="str">
        <x:v>执行顺序</x:v>
      </x:c>
      <x:c r="H12" s="11" t="str">
        <x:v>执行顺序</x:v>
      </x:c>
    </x:row>
    <x:row r="13" ht="33" customHeight="1">
      <x:c r="A13" s="33" t="str">
        <x:v>步骤</x:v>
      </x:c>
      <x:c r="B13" s="33" t="str">
        <x:v>何时</x:v>
      </x:c>
      <x:c r="C13" s="33" t="str">
        <x:v>操作</x:v>
      </x:c>
    </x:row>
    <x:row r="14" ht="45" customHeight="1">
      <x:c r="A14" s="26" t="str">
        <x:v>1</x:v>
      </x:c>
      <x:c r="B14" s="26" t="str">
        <x:v>第一轮前</x:v>
      </x:c>
      <x:c r="C14" s="26" t="str">
        <x:v>使用空白演示浏览器；确认无真实儿童数据；准备计时器。</x:v>
      </x:c>
    </x:row>
    <x:row r="15" ht="45" customHeight="1">
      <x:c r="A15" s="28" t="str">
        <x:v>2</x:v>
      </x:c>
      <x:c r="B15" s="28" t="str">
        <x:v>第一轮</x:v>
      </x:c>
      <x:c r="C15" s="28" t="str">
        <x:v>5–8 名孩子，每人 15–20 分钟；使用“任务脚本”固定措辞，先不提示。</x:v>
      </x:c>
    </x:row>
    <x:row r="16" ht="45" customHeight="1">
      <x:c r="A16" s="28" t="str">
        <x:v>3</x:v>
      </x:c>
      <x:c r="B16" s="28" t="str">
        <x:v>修复期</x:v>
      </x:c>
      <x:c r="C16" s="28" t="str">
        <x:v>只根据任务失败、求助和 P0/P1 修正 UI；不要把第一轮写成效果结论。</x:v>
      </x:c>
    </x:row>
    <x:row r="17" ht="45" customHeight="1">
      <x:c r="A17" s="28" t="str">
        <x:v>4</x:v>
      </x:c>
      <x:c r="B17" s="28" t="str">
        <x:v>第二轮</x:v>
      </x:c>
      <x:c r="C17" s="28" t="str">
        <x:v>一个 20–30 人班级实际使用一周；周末用同一任务和同一口径完成一次汇总记录。</x:v>
      </x:c>
    </x:row>
    <x:row r="18" ht="45" customHeight="1">
      <x:c r="A18" s="28" t="str">
        <x:v>5</x:v>
      </x:c>
      <x:c r="B18" s="28" t="str">
        <x:v>判定</x:v>
      </x:c>
      <x:c r="C18" s="28" t="str">
        <x:v>查看“汇总判定”；只有分母达标、第二轮四项比例均不低于 80%、且无未解决多数 P0/P1 才通过。</x:v>
      </x:c>
    </x:row>
    <x:row r="20" ht="22.5" customHeight="1">
      <x:c r="A20" s="11" t="str">
        <x:v>严重度与现场规则</x:v>
      </x:c>
      <x:c r="B20" s="11" t="str">
        <x:v>严重度与现场规则</x:v>
      </x:c>
      <x:c r="C20" s="11" t="str">
        <x:v>严重度与现场规则</x:v>
      </x:c>
      <x:c r="D20" s="11" t="str">
        <x:v>严重度与现场规则</x:v>
      </x:c>
      <x:c r="E20" s="11" t="str">
        <x:v>严重度与现场规则</x:v>
      </x:c>
      <x:c r="F20" s="11" t="str">
        <x:v>严重度与现场规则</x:v>
      </x:c>
      <x:c r="G20" s="11" t="str">
        <x:v>严重度与现场规则</x:v>
      </x:c>
      <x:c r="H20" s="11" t="str">
        <x:v>严重度与现场规则</x:v>
      </x:c>
    </x:row>
    <x:row r="21" ht="33" customHeight="1">
      <x:c r="A21" s="33" t="str">
        <x:v>等级/规则</x:v>
      </x:c>
      <x:c r="B21" s="33" t="str">
        <x:v>定义</x:v>
      </x:c>
      <x:c r="C21" s="33" t="str">
        <x:v>处理</x:v>
      </x:c>
    </x:row>
    <x:row r="22" ht="37.5" customHeight="1">
      <x:c r="A22" s="26" t="str">
        <x:v>P0</x:v>
      </x:c>
      <x:c r="B22" s="26" t="str">
        <x:v>数据破坏、安全问题或核心站点完全不可用。</x:v>
      </x:c>
      <x:c r="C22" s="26" t="str">
        <x:v>立即停止试用并修复。</x:v>
      </x:c>
    </x:row>
    <x:row r="23" ht="37.5" customHeight="1">
      <x:c r="A23" s="28" t="str">
        <x:v>P1</x:v>
      </x:c>
      <x:c r="B23" s="28" t="str">
        <x:v>多数人无法找到课程、区分地点、理解成长或返回地图。</x:v>
      </x:c>
      <x:c r="C23" s="28" t="str">
        <x:v>本轮不通过，修复后重新验证。</x:v>
      </x:c>
    </x:row>
    <x:row r="24" ht="37.5" customHeight="1">
      <x:c r="A24" s="28" t="str">
        <x:v>P2</x:v>
      </x:c>
      <x:c r="B24" s="28" t="str">
        <x:v>局部裁切、难读、误触或反馈问题，但有清楚替代路径。</x:v>
      </x:c>
      <x:c r="C24" s="28" t="str">
        <x:v>记录并排期，不单独阻断判定。</x:v>
      </x:c>
    </x:row>
    <x:row r="25" ht="37.5" customHeight="1">
      <x:c r="A25" s="28" t="str">
        <x:v>求助</x:v>
      </x:c>
      <x:c r="B25" s="28" t="str">
        <x:v>只有孩子明确请求或停滞后观察员才提供；每次提示计 1 次。</x:v>
      </x:c>
      <x:c r="C25" s="28" t="str">
        <x:v>先记录当时用时与失败点，再提供最小提示。</x:v>
      </x:c>
    </x:row>
  </x:sheetData>
  <x:mergeCells>
    <x:mergeCell ref="A1:H1"/>
    <x:mergeCell ref="A2:H2"/>
    <x:mergeCell ref="A4:H4"/>
    <x:mergeCell ref="A12:H12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110000610351562" hidden="0" customWidth="1"/>
    <x:col min="2" max="2" width="17.219999313354492" hidden="0" customWidth="1"/>
    <x:col min="3" max="3" width="17.219999313354492" hidden="0" customWidth="1"/>
    <x:col min="4" max="4" width="27.219999313354492" hidden="0" customWidth="1"/>
  </x:cols>
  <x:sheetData>
    <x:row r="1" ht="33" customHeight="1">
      <x:c r="A1" s="4" t="str">
        <x:v>V1 试用汇总与通过判定</x:v>
      </x:c>
      <x:c r="B1" s="4" t="str">
        <x:v>V1 试用汇总与通过判定</x:v>
      </x:c>
      <x:c r="C1" s="4" t="str">
        <x:v>V1 试用汇总与通过判定</x:v>
      </x:c>
      <x:c r="D1" s="4" t="str">
        <x:v>V1 试用汇总与通过判定</x:v>
      </x:c>
    </x:row>
    <x:row r="2" ht="31.5" customHeight="1">
      <x:c r="A2" s="8" t="str">
        <x:v>所有数字由观察表公式生成。分母始终显示；空白数据不会被当成通过。</x:v>
      </x:c>
      <x:c r="B2" s="8" t="str">
        <x:v>所有数字由观察表公式生成。分母始终显示；空白数据不会被当成通过。</x:v>
      </x:c>
      <x:c r="C2" s="8" t="str">
        <x:v>所有数字由观察表公式生成。分母始终显示；空白数据不会被当成通过。</x:v>
      </x:c>
      <x:c r="D2" s="8" t="str">
        <x:v>所有数字由观察表公式生成。分母始终显示；空白数据不会被当成通过。</x:v>
      </x:c>
    </x:row>
    <x:row r="4" ht="22.5" customHeight="1">
      <x:c r="A4" s="11" t="str">
        <x:v>判定参数（只在规格变化时修改）</x:v>
      </x:c>
      <x:c r="B4" s="11" t="str">
        <x:v>判定参数（只在规格变化时修改）</x:v>
      </x:c>
      <x:c r="C4" s="11" t="str">
        <x:v>判定参数（只在规格变化时修改）</x:v>
      </x:c>
      <x:c r="D4" s="11" t="str">
        <x:v>判定参数（只在规格变化时修改）</x:v>
      </x:c>
    </x:row>
    <x:row r="5">
      <x:c r="A5" s="12" t="str">
        <x:v>第二轮比例门槛</x:v>
      </x:c>
      <x:c r="B5" s="36" t="n">
        <x:v>0.8</x:v>
      </x:c>
    </x:row>
    <x:row r="6">
      <x:c r="A6" s="12" t="str">
        <x:v>第一轮最少人数</x:v>
      </x:c>
      <x:c r="B6" s="37" t="n">
        <x:v>5</x:v>
      </x:c>
    </x:row>
    <x:row r="7">
      <x:c r="A7" s="12" t="str">
        <x:v>第一轮最多人数</x:v>
      </x:c>
      <x:c r="B7" s="37" t="n">
        <x:v>8</x:v>
      </x:c>
    </x:row>
    <x:row r="8">
      <x:c r="A8" s="12" t="str">
        <x:v>第二轮最少人数</x:v>
      </x:c>
      <x:c r="B8" s="37" t="n">
        <x:v>20</x:v>
      </x:c>
    </x:row>
    <x:row r="9">
      <x:c r="A9" s="12" t="str">
        <x:v>第二轮最多人数</x:v>
      </x:c>
      <x:c r="B9" s="37" t="n">
        <x:v>30</x:v>
      </x:c>
    </x:row>
    <x:row r="11" ht="33" customHeight="1">
      <x:c r="A11" s="33" t="str">
        <x:v>儿童任务指标</x:v>
      </x:c>
      <x:c r="B11" s="33" t="str">
        <x:v>第一轮</x:v>
      </x:c>
      <x:c r="C11" s="33" t="str">
        <x:v>第二轮</x:v>
      </x:c>
      <x:c r="D11" s="33" t="str">
        <x:v>最终门槛/说明</x:v>
      </x:c>
    </x:row>
    <x:row r="12" ht="24" customHeight="1">
      <x:c r="A12" s="26" t="str">
        <x:v>有效分母</x:v>
      </x:c>
      <x:c r="B12" s="26" t="n">
        <x:f>COUNTIF('第一轮观察'!$K$5:$K$12,"&lt;&gt;")</x:f>
        <x:v>0</x:v>
      </x:c>
      <x:c r="C12" s="26" t="n">
        <x:f>COUNTIF('第二轮观察'!$K$5:$K$34,"&lt;&gt;")</x:f>
        <x:v>0</x:v>
      </x:c>
      <x:c r="D12" s="26" t="str">
        <x:v>第一轮 5–8；第二轮 20–30</x:v>
      </x:c>
    </x:row>
    <x:row r="13" ht="24" customHeight="1">
      <x:c r="A13" s="28" t="str">
        <x:v>30秒内找到 · 人数</x:v>
      </x:c>
      <x:c r="B13" s="28" t="n">
        <x:f>COUNTIF('第一轮观察'!$F$5:$F$12,"是")</x:f>
        <x:v>0</x:v>
      </x:c>
      <x:c r="C13" s="28" t="n">
        <x:f>COUNTIF('第二轮观察'!$F$5:$F$34,"是")</x:f>
        <x:v>0</x:v>
      </x:c>
      <x:c r="D13" s="28" t="str">
        <x:v>分子</x:v>
      </x:c>
    </x:row>
    <x:row r="14" ht="24" customHeight="1">
      <x:c r="A14" s="28" t="str">
        <x:v>30秒内找到 · 比例</x:v>
      </x:c>
      <x:c r="B14" s="38" t="str">
        <x:f>IF(B12=0,"",B13/B12)</x:f>
      </x:c>
      <x:c r="C14" s="38" t="str">
        <x:f>IF(C12=0,"",C13/C12)</x:f>
      </x:c>
      <x:c r="D14" s="28" t="str">
        <x:v>第二轮 ≥80%</x:v>
      </x:c>
    </x:row>
    <x:row r="15" ht="24" customHeight="1">
      <x:c r="A15" s="28" t="str">
        <x:v>区分地点状态 · 人数</x:v>
      </x:c>
      <x:c r="B15" s="28" t="n">
        <x:f>COUNTIF('第一轮观察'!$G$5:$G$12,"是")</x:f>
        <x:v>0</x:v>
      </x:c>
      <x:c r="C15" s="28" t="n">
        <x:f>COUNTIF('第二轮观察'!$G$5:$G$34,"是")</x:f>
        <x:v>0</x:v>
      </x:c>
      <x:c r="D15" s="28" t="str">
        <x:v>分子</x:v>
      </x:c>
    </x:row>
    <x:row r="16" ht="24" customHeight="1">
      <x:c r="A16" s="28" t="str">
        <x:v>区分地点状态 · 比例</x:v>
      </x:c>
      <x:c r="B16" s="38" t="str">
        <x:f>IF(B12=0,"",B15/B12)</x:f>
      </x:c>
      <x:c r="C16" s="38" t="str">
        <x:f>IF(C12=0,"",C15/C12)</x:f>
      </x:c>
      <x:c r="D16" s="28" t="str">
        <x:v>第二轮 ≥80%</x:v>
      </x:c>
    </x:row>
    <x:row r="17" ht="24" customHeight="1">
      <x:c r="A17" s="28" t="str">
        <x:v>理解一次成长 · 人数</x:v>
      </x:c>
      <x:c r="B17" s="28" t="n">
        <x:f>COUNTIF('第一轮观察'!$H$5:$H$12,"是")</x:f>
        <x:v>0</x:v>
      </x:c>
      <x:c r="C17" s="28" t="n">
        <x:f>COUNTIF('第二轮观察'!$H$5:$H$34,"是")</x:f>
        <x:v>0</x:v>
      </x:c>
      <x:c r="D17" s="28" t="str">
        <x:v>分子</x:v>
      </x:c>
    </x:row>
    <x:row r="18" ht="24" customHeight="1">
      <x:c r="A18" s="28" t="str">
        <x:v>理解一次成长 · 比例</x:v>
      </x:c>
      <x:c r="B18" s="38" t="str">
        <x:f>IF(B12=0,"",B17/B12)</x:f>
      </x:c>
      <x:c r="C18" s="38" t="str">
        <x:f>IF(C12=0,"",C17/C12)</x:f>
      </x:c>
      <x:c r="D18" s="28" t="str">
        <x:v>第二轮 ≥80%</x:v>
      </x:c>
    </x:row>
    <x:row r="19" ht="24" customHeight="1">
      <x:c r="A19" s="28" t="str">
        <x:v>三项均达标 · 人数</x:v>
      </x:c>
      <x:c r="B19" s="28" t="n">
        <x:f>COUNTIF('第一轮观察'!$I$5:$I$12,"是")</x:f>
        <x:v>0</x:v>
      </x:c>
      <x:c r="C19" s="28" t="n">
        <x:f>COUNTIF('第二轮观察'!$I$5:$I$34,"是")</x:f>
        <x:v>0</x:v>
      </x:c>
      <x:c r="D19" s="28" t="str">
        <x:v>分子</x:v>
      </x:c>
    </x:row>
    <x:row r="20" ht="24" customHeight="1">
      <x:c r="A20" s="28" t="str">
        <x:v>三项均达标 · 比例</x:v>
      </x:c>
      <x:c r="B20" s="38" t="str">
        <x:f>IF(B12=0,"",B19/B12)</x:f>
      </x:c>
      <x:c r="C20" s="38" t="str">
        <x:f>IF(C12=0,"",C19/C12)</x:f>
      </x:c>
      <x:c r="D20" s="28" t="str">
        <x:v>第二轮 ≥80%</x:v>
      </x:c>
    </x:row>
    <x:row r="21" ht="24" customHeight="1">
      <x:c r="A21" s="28" t="str">
        <x:v>样本范围</x:v>
      </x:c>
      <x:c r="B21" s="28" t="str">
        <x:f>IF(B12=0,"HUMAN_REQUIRED — 待执行",IF(AND(B12&gt;=$B$6,B12&lt;=$B$7),"达标","不达标"))</x:f>
        <x:v>HUMAN_REQUIRED — 待执行</x:v>
      </x:c>
      <x:c r="C21" s="28" t="str">
        <x:f>IF(C12=0,"HUMAN_REQUIRED — 待执行",IF(AND(C12&gt;=$B$8,C12&lt;=$B$9),"达标","不达标"))</x:f>
        <x:v>HUMAN_REQUIRED — 待执行</x:v>
      </x:c>
      <x:c r="D21" s="28" t="str">
        <x:v>两轮都必须达标</x:v>
      </x:c>
    </x:row>
    <x:row r="23" ht="22.5" customHeight="1">
      <x:c r="A23" s="11" t="str">
        <x:v>阻断问题判定</x:v>
      </x:c>
      <x:c r="B23" s="11" t="str">
        <x:v>阻断问题判定</x:v>
      </x:c>
      <x:c r="C23" s="11" t="str">
        <x:v>阻断问题判定</x:v>
      </x:c>
      <x:c r="D23" s="11" t="str">
        <x:v>阻断问题判定</x:v>
      </x:c>
    </x:row>
    <x:row r="24" ht="24" customHeight="1">
      <x:c r="A24" s="26" t="str">
        <x:v>未验证的多数 P0/P1</x:v>
      </x:c>
      <x:c r="B24" s="26" t="n">
        <x:f>COUNTIFS('问题记录'!$F$5:$F$44,"P0",'问题记录'!$G$5:$G$44,"是",'问题记录'!$L$5:$L$44,"&lt;&gt;已验证")+COUNTIFS('问题记录'!$F$5:$F$44,"P1",'问题记录'!$G$5:$G$44,"是",'问题记录'!$L$5:$L$44,"&lt;&gt;已验证")</x:f>
        <x:v>0</x:v>
      </x:c>
    </x:row>
    <x:row r="25" ht="24" customHeight="1">
      <x:c r="A25" s="28" t="str">
        <x:v>问题门槛</x:v>
      </x:c>
      <x:c r="B25" s="28" t="str">
        <x:f>IF(B24=0,"通过","不通过")</x:f>
        <x:v>通过</x:v>
      </x:c>
    </x:row>
    <x:row r="27" ht="22.5" customHeight="1">
      <x:c r="A27" s="11" t="str">
        <x:v>最终状态</x:v>
      </x:c>
      <x:c r="B27" s="11" t="str">
        <x:v>最终状态</x:v>
      </x:c>
      <x:c r="C27" s="11" t="str">
        <x:v>最终状态</x:v>
      </x:c>
      <x:c r="D27" s="11" t="str">
        <x:v>最终状态</x:v>
      </x:c>
    </x:row>
    <x:row r="28">
      <x:c r="A28" s="39" t="str">
        <x:v>V1 地图试用判定</x:v>
      </x:c>
      <x:c r="B28" s="43" t="str">
        <x:f>IF(OR(B12=0,C12=0),"HUMAN_REQUIRED — 待执行",IF(AND(B21="达标",C21="达标",C14&gt;=$B$5,C16&gt;=$B$5,C18&gt;=$B$5,C20&gt;=$B$5,B25="通过"),"通过","不通过"))</x:f>
        <x:v>HUMAN_REQUIRED — 待执行</x:v>
      </x:c>
      <x:c r="C28" s="43"/>
      <x:c r="D28" s="43"/>
    </x:row>
    <x:row r="29" ht="31.5" customHeight="1">
      <x:c r="A29" s="46" t="str">
        <x:v>注意：通过只表示地图在本次机构试用中达到可理解、可操作门槛，不表示学习效果、留存或长期表现改善。</x:v>
      </x:c>
      <x:c r="B29" s="46" t="str">
        <x:v>注意：通过只表示地图在本次机构试用中达到可理解、可操作门槛，不表示学习效果、留存或长期表现改善。</x:v>
      </x:c>
      <x:c r="C29" s="46" t="str">
        <x:v>注意：通过只表示地图在本次机构试用中达到可理解、可操作门槛，不表示学习效果、留存或长期表现改善。</x:v>
      </x:c>
      <x:c r="D29" s="46" t="str">
        <x:v>注意：通过只表示地图在本次机构试用中达到可理解、可操作门槛，不表示学习效果、留存或长期表现改善。</x:v>
      </x:c>
    </x:row>
  </x:sheetData>
  <x:mergeCells>
    <x:mergeCell ref="A1:D1"/>
    <x:mergeCell ref="A2:D2"/>
    <x:mergeCell ref="A4:D4"/>
    <x:mergeCell ref="A23:D23"/>
    <x:mergeCell ref="A27:D27"/>
    <x:mergeCell ref="B28:D28"/>
    <x:mergeCell ref="A29:D29"/>
  </x:mergeCells>
  <x:conditionalFormatting sqref="B21:C21">
    <x:cfRule type="containsText" dxfId="0" priority="1" operator="containsText" text="是"/>
    <x:cfRule type="containsText" dxfId="1" priority="2" operator="containsText" text="否"/>
  </x:conditionalFormatting>
  <x:conditionalFormatting sqref="B25:B25">
    <x:cfRule type="containsText" dxfId="4" priority="5" operator="containsText" text="通过"/>
    <x:cfRule type="containsText" dxfId="5" priority="6" operator="containsText" text="不通过"/>
  </x:conditionalFormatting>
  <x:conditionalFormatting sqref="B28:D28">
    <x:cfRule type="containsText" dxfId="6" priority="7" operator="containsText" text="通过"/>
    <x:cfRule type="containsText" dxfId="7" priority="8" operator="containsText" text="不通过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.88999938964844" hidden="0" customWidth="1"/>
    <x:col min="3" max="3" width="26.670000076293945" hidden="0" customWidth="1"/>
    <x:col min="4" max="4" width="36.66999816894531" hidden="0" customWidth="1"/>
    <x:col min="5" max="5" width="24.440000534057617" hidden="0" customWidth="1"/>
  </x:cols>
  <x:sheetData>
    <x:row r="1" ht="33" customHeight="1">
      <x:c r="A1" s="4" t="str">
        <x:v>现场任务脚本（固定措辞）</x:v>
      </x:c>
      <x:c r="B1" s="4" t="str">
        <x:v>现场任务脚本（固定措辞）</x:v>
      </x:c>
      <x:c r="C1" s="4" t="str">
        <x:v>现场任务脚本（固定措辞）</x:v>
      </x:c>
      <x:c r="D1" s="4" t="str">
        <x:v>现场任务脚本（固定措辞）</x:v>
      </x:c>
      <x:c r="E1" s="4" t="str">
        <x:v>现场任务脚本（固定措辞）</x:v>
      </x:c>
    </x:row>
    <x:row r="2" ht="31.5" customHeight="1">
      <x:c r="A2" s="8" t="str">
        <x:v>观察员按原话读题；孩子操作时先不提示。第一轮和第二轮使用相同三项核心任务与通过口径。</x:v>
      </x:c>
      <x:c r="B2" s="8" t="str">
        <x:v>观察员按原话读题；孩子操作时先不提示。第一轮和第二轮使用相同三项核心任务与通过口径。</x:v>
      </x:c>
      <x:c r="C2" s="8" t="str">
        <x:v>观察员按原话读题；孩子操作时先不提示。第一轮和第二轮使用相同三项核心任务与通过口径。</x:v>
      </x:c>
      <x:c r="D2" s="8" t="str">
        <x:v>观察员按原话读题；孩子操作时先不提示。第一轮和第二轮使用相同三项核心任务与通过口径。</x:v>
      </x:c>
      <x:c r="E2" s="8" t="str">
        <x:v>观察员按原话读题；孩子操作时先不提示。第一轮和第二轮使用相同三项核心任务与通过口径。</x:v>
      </x:c>
    </x:row>
    <x:row r="4" ht="22.5" customHeight="1">
      <x:c r="A4" s="11" t="str">
        <x:v>第一轮：5–8 名孩子，每人 15–20 分钟</x:v>
      </x:c>
      <x:c r="B4" s="11" t="str">
        <x:v>第一轮：5–8 名孩子，每人 15–20 分钟</x:v>
      </x:c>
      <x:c r="C4" s="11" t="str">
        <x:v>第一轮：5–8 名孩子，每人 15–20 分钟</x:v>
      </x:c>
      <x:c r="D4" s="11" t="str">
        <x:v>第一轮：5–8 名孩子，每人 15–20 分钟</x:v>
      </x:c>
      <x:c r="E4" s="11" t="str">
        <x:v>第一轮：5–8 名孩子，每人 15–20 分钟</x:v>
      </x:c>
    </x:row>
    <x:row r="5" ht="33" customHeight="1">
      <x:c r="A5" s="33" t="str">
        <x:v>阶段</x:v>
      </x:c>
      <x:c r="B5" s="33" t="str">
        <x:v>对孩子说</x:v>
      </x:c>
      <x:c r="C5" s="33" t="str">
        <x:v>开始/停止计时</x:v>
      </x:c>
      <x:c r="D5" s="33" t="str">
        <x:v>通过口径</x:v>
      </x:c>
      <x:c r="E5" s="33" t="str">
        <x:v>记录位置</x:v>
      </x:c>
    </x:row>
    <x:row r="6" ht="43.5" customHeight="1">
      <x:c r="A6" s="26" t="str">
        <x:v>准备</x:v>
      </x:c>
      <x:c r="B6" s="26" t="str">
        <x:v>“这里有一张英语冒险地图。请你自己看看，想怎么开始都可以。”</x:v>
      </x:c>
      <x:c r="C6" s="26" t="str">
        <x:v>不计时</x:v>
      </x:c>
      <x:c r="D6" s="26" t="str">
        <x:v>观察是否理解页面可操作；不解释地图结构。</x:v>
      </x:c>
      <x:c r="E6" s="26" t="str">
        <x:v>第一轮观察：平台、求助</x:v>
      </x:c>
    </x:row>
    <x:row r="7" ht="43.5" customHeight="1">
      <x:c r="A7" s="28" t="str">
        <x:v>任务 1</x:v>
      </x:c>
      <x:c r="B7" s="28" t="str">
        <x:v>“请找到现在最适合你继续学习的课程，并打开它。”</x:v>
      </x:c>
      <x:c r="C7" s="28" t="str">
        <x:v>页面稳定可见时开始；打开推荐课程时停止</x:v>
      </x:c>
      <x:c r="D7" s="28" t="str">
        <x:v>不经提示，在 30 秒内进入推荐课程。</x:v>
      </x:c>
      <x:c r="E7" s="28" t="str">
        <x:v>独立找到、用时、30秒公式列</x:v>
      </x:c>
    </x:row>
    <x:row r="8" ht="43.5" customHeight="1">
      <x:c r="A8" s="28" t="str">
        <x:v>任务 2</x:v>
      </x:c>
      <x:c r="B8" s="28" t="str">
        <x:v>“请回到地图，告诉我哪些地方现在能进去，哪些地方还在画。”</x:v>
      </x:c>
      <x:c r="C8" s="28" t="str">
        <x:v>不单独计时</x:v>
      </x:c>
      <x:c r="D8" s="28" t="str">
        <x:v>能依据文字/图形状态区分可进入与正在绘制，不只说颜色。</x:v>
      </x:c>
      <x:c r="E8" s="28" t="str">
        <x:v>区分可用/正在绘制</x:v>
      </x:c>
    </x:row>
    <x:row r="9" ht="43.5" customHeight="1">
      <x:c r="A9" s="28" t="str">
        <x:v>任务 3</x:v>
      </x:c>
      <x:c r="B9" s="28" t="str">
        <x:v>“请完成这里的一小关，再回地图看看。你发现什么变了？”</x:v>
      </x:c>
      <x:c r="C9" s="28" t="str">
        <x:v>按课程实际操作</x:v>
      </x:c>
      <x:c r="D9" s="28" t="str">
        <x:v>完成一个真实阶段后，能指出地标新增的可见变化。</x:v>
      </x:c>
      <x:c r="E9" s="28" t="str">
        <x:v>理解一次地图成长</x:v>
      </x:c>
    </x:row>
    <x:row r="10" ht="43.5" customHeight="1">
      <x:c r="A10" s="28" t="str">
        <x:v>结束</x:v>
      </x:c>
      <x:c r="B10" s="28" t="str">
        <x:v>“谢谢你。刚才哪里最难？哪里让你不知道该点什么？”</x:v>
      </x:c>
      <x:c r="C10" s="28" t="str">
        <x:v>总时长控制在 15–20 分钟</x:v>
      </x:c>
      <x:c r="D10" s="28" t="str">
        <x:v>只记录操作困难与原话摘要，不评价英语能力。</x:v>
      </x:c>
      <x:c r="E10" s="28" t="str">
        <x:v>任务完成、求助、问题记录</x:v>
      </x:c>
    </x:row>
    <x:row r="12" ht="22.5" customHeight="1">
      <x:c r="A12" s="11" t="str">
        <x:v>第二轮：一个 20–30 人班级，实际使用一周</x:v>
      </x:c>
      <x:c r="B12" s="11" t="str">
        <x:v>第二轮：一个 20–30 人班级，实际使用一周</x:v>
      </x:c>
      <x:c r="C12" s="11" t="str">
        <x:v>第二轮：一个 20–30 人班级，实际使用一周</x:v>
      </x:c>
      <x:c r="D12" s="11" t="str">
        <x:v>第二轮：一个 20–30 人班级，实际使用一周</x:v>
      </x:c>
      <x:c r="E12" s="11" t="str">
        <x:v>第二轮：一个 20–30 人班级，实际使用一周</x:v>
      </x:c>
    </x:row>
    <x:row r="13" ht="33" customHeight="1">
      <x:c r="A13" s="33" t="str">
        <x:v>时间</x:v>
      </x:c>
      <x:c r="B13" s="33" t="str">
        <x:v>执行方式</x:v>
      </x:c>
      <x:c r="C13" s="33" t="str">
        <x:v>固定任务</x:v>
      </x:c>
      <x:c r="D13" s="33" t="str">
        <x:v>记录规则</x:v>
      </x:c>
      <x:c r="E13" s="33" t="str">
        <x:v>停止条件</x:v>
      </x:c>
    </x:row>
    <x:row r="14" ht="49.5" customHeight="1">
      <x:c r="A14" s="26" t="str">
        <x:v>第 1 天</x:v>
      </x:c>
      <x:c r="B14" s="26" t="str">
        <x:v>老师正常介绍公开课程入口，不讲解测试答案。</x:v>
      </x:c>
      <x:c r="C14" s="26" t="str">
        <x:v>保留任务 1–3 原话和通过口径。</x:v>
      </x:c>
      <x:c r="D14" s="26" t="str">
        <x:v>不建立孩子账号、匿名 ID 或点击流。</x:v>
      </x:c>
      <x:c r="E14" s="26" t="str">
        <x:v>出现 P0 立即停止。</x:v>
      </x:c>
    </x:row>
    <x:row r="15" ht="49.5" customHeight="1">
      <x:c r="A15" s="28" t="str">
        <x:v>第 2–4 天</x:v>
      </x:c>
      <x:c r="B15" s="28" t="str">
        <x:v>按真实课后/课堂场景使用地图和课程。</x:v>
      </x:c>
      <x:c r="C15" s="28" t="str">
        <x:v>不额外制造任务，不改变地点状态含义。</x:v>
      </x:c>
      <x:c r="D15" s="28" t="str">
        <x:v>只记录现场出现的 P0/P1/P2；不记录个人留存。</x:v>
      </x:c>
      <x:c r="E15" s="28" t="str">
        <x:v>多数孩子被 P1 阻塞时暂停并修复。</x:v>
      </x:c>
    </x:row>
    <x:row r="16" ht="49.5" customHeight="1">
      <x:c r="A16" s="28" t="str">
        <x:v>第 5–7 天</x:v>
      </x:c>
      <x:c r="B16" s="28" t="str">
        <x:v>对全班 20–30 人完成一次统一检查。</x:v>
      </x:c>
      <x:c r="C16" s="28" t="str">
        <x:v>逐人使用同一任务 1–3；任务 1 计 30 秒。</x:v>
      </x:c>
      <x:c r="D16" s="28" t="str">
        <x:v>每人只填一行最终检查；行号不可关联姓名。</x:v>
      </x:c>
      <x:c r="E16" s="28" t="str">
        <x:v>确保分母等于实际完成检查的人数。</x:v>
      </x:c>
    </x:row>
    <x:row r="17" ht="49.5" customHeight="1">
      <x:c r="A17" s="28" t="str">
        <x:v>汇总</x:v>
      </x:c>
      <x:c r="B17" s="28" t="str">
        <x:v>只查看“汇总判定”公式结果。</x:v>
      </x:c>
      <x:c r="C17" s="28" t="str">
        <x:v>不修改 80%、人数范围或严重度口径。</x:v>
      </x:c>
      <x:c r="D17" s="28" t="str">
        <x:v>保留空白/失败分母，不挑选成功样本。</x:v>
      </x:c>
      <x:c r="E17" s="28" t="str">
        <x:v>没有完整人工证据时保持待执行。</x:v>
      </x:c>
    </x:row>
    <x:row r="19" ht="22.5" customHeight="1">
      <x:c r="A19" s="11" t="str">
        <x:v>求助与观察口径</x:v>
      </x:c>
      <x:c r="B19" s="11" t="str">
        <x:v>求助与观察口径</x:v>
      </x:c>
      <x:c r="C19" s="11" t="str">
        <x:v>求助与观察口径</x:v>
      </x:c>
      <x:c r="D19" s="11" t="str">
        <x:v>求助与观察口径</x:v>
      </x:c>
      <x:c r="E19" s="11" t="str">
        <x:v>求助与观察口径</x:v>
      </x:c>
    </x:row>
    <x:row r="20" ht="33" customHeight="1">
      <x:c r="A20" s="33" t="str">
        <x:v>情况</x:v>
      </x:c>
      <x:c r="B20" s="33" t="str">
        <x:v>统一处理</x:v>
      </x:c>
    </x:row>
    <x:row r="21" ht="40.5" customHeight="1">
      <x:c r="A21" s="26" t="str">
        <x:v>孩子问“点哪里”</x:v>
      </x:c>
      <x:c r="B21" s="26" t="str">
        <x:v>先记录当前用时和失败点，再给一个最小提示；求助次数 +1。</x:v>
      </x:c>
    </x:row>
    <x:row r="22" ht="40.5" customHeight="1">
      <x:c r="A22" s="28" t="str">
        <x:v>超过 30 秒</x:v>
      </x:c>
      <x:c r="B22" s="28" t="str">
        <x:v>记录实际秒数和“否”，随后可以帮助孩子继续完成其余任务。</x:v>
      </x:c>
    </x:row>
    <x:row r="23" ht="40.5" customHeight="1">
      <x:c r="A23" s="28" t="str">
        <x:v>孩子用颜色区分地点</x:v>
      </x:c>
      <x:c r="B23" s="28" t="str">
        <x:v>追问“除了颜色，你还看到了什么？”；必须说出文字/图形状态才算通过。</x:v>
      </x:c>
    </x:row>
    <x:row r="24" ht="40.5" customHeight="1">
      <x:c r="A24" s="28" t="str">
        <x:v>孩子说“变漂亮了”</x:v>
      </x:c>
      <x:c r="B24" s="28" t="str">
        <x:v>追问“哪里多了什么？”；能指出新增地标部件才算理解成长。</x:v>
      </x:c>
    </x:row>
  </x:sheetData>
  <x:mergeCells>
    <x:mergeCell ref="A1:E1"/>
    <x:mergeCell ref="A2:E2"/>
    <x:mergeCell ref="A4:E4"/>
    <x:mergeCell ref="A12:E12"/>
    <x:mergeCell ref="A19:E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440000057220459" hidden="0" customWidth="1"/>
    <x:col min="2" max="2" width="9.779999732971191" hidden="0" customWidth="1"/>
    <x:col min="3" max="3" width="14.670000076293945" hidden="0" customWidth="1"/>
    <x:col min="4" max="4" width="12.4399995803833" hidden="0" customWidth="1"/>
    <x:col min="5" max="5" width="8.670000076293945" hidden="0" customWidth="1"/>
    <x:col min="6" max="6" width="12" hidden="0" customWidth="1"/>
    <x:col min="7" max="7" width="13.329999923706055" hidden="0" customWidth="1"/>
    <x:col min="8" max="8" width="13.329999923706055" hidden="0" customWidth="1"/>
    <x:col min="9" max="9" width="10.670000076293945" hidden="0" customWidth="1"/>
    <x:col min="10" max="10" width="8.670000076293945" hidden="0" customWidth="1"/>
    <x:col min="11" max="11" width="11.329999923706055" hidden="0" customWidth="1"/>
    <x:col min="12" max="12" width="12.220000267028809" hidden="0" customWidth="1"/>
    <x:col min="13" max="13" width="26.670000076293945" hidden="0" customWidth="1"/>
  </x:cols>
  <x:sheetData>
    <x:row r="1" ht="33" customHeight="1">
      <x:c r="A1" s="4" t="str">
        <x:v>第一轮观察（5–8 人）</x:v>
      </x:c>
      <x:c r="B1" s="4" t="str">
        <x:v>第一轮观察（5–8 人）</x:v>
      </x:c>
      <x:c r="C1" s="4" t="str">
        <x:v>第一轮观察（5–8 人）</x:v>
      </x:c>
      <x:c r="D1" s="4" t="str">
        <x:v>第一轮观察（5–8 人）</x:v>
      </x:c>
      <x:c r="E1" s="4" t="str">
        <x:v>第一轮观察（5–8 人）</x:v>
      </x:c>
      <x:c r="F1" s="4" t="str">
        <x:v>第一轮观察（5–8 人）</x:v>
      </x:c>
      <x:c r="G1" s="4" t="str">
        <x:v>第一轮观察（5–8 人）</x:v>
      </x:c>
      <x:c r="H1" s="4" t="str">
        <x:v>第一轮观察（5–8 人）</x:v>
      </x:c>
      <x:c r="I1" s="4" t="str">
        <x:v>第一轮观察（5–8 人）</x:v>
      </x:c>
      <x:c r="J1" s="4" t="str">
        <x:v>第一轮观察（5–8 人）</x:v>
      </x:c>
      <x:c r="K1" s="4" t="str">
        <x:v>第一轮观察（5–8 人）</x:v>
      </x:c>
      <x:c r="L1" s="4" t="str">
        <x:v>第一轮观察（5–8 人）</x:v>
      </x:c>
      <x:c r="M1" s="4" t="str">
        <x:v>第一轮观察（5–8 人）</x:v>
      </x:c>
    </x:row>
    <x:row r="2" ht="31.5" customHeight="1">
      <x:c r="A2" s="8" t="str">
        <x:v>每人 15–20 分钟。记录行只是表格位置，不得写姓名、学号或可跨表关联的匿名编号。</x:v>
      </x:c>
      <x:c r="B2" s="8" t="str">
        <x:v>每人 15–20 分钟。记录行只是表格位置，不得写姓名、学号或可跨表关联的匿名编号。</x:v>
      </x:c>
      <x:c r="C2" s="8" t="str">
        <x:v>每人 15–20 分钟。记录行只是表格位置，不得写姓名、学号或可跨表关联的匿名编号。</x:v>
      </x:c>
      <x:c r="D2" s="8" t="str">
        <x:v>每人 15–20 分钟。记录行只是表格位置，不得写姓名、学号或可跨表关联的匿名编号。</x:v>
      </x:c>
      <x:c r="E2" s="8" t="str">
        <x:v>每人 15–20 分钟。记录行只是表格位置，不得写姓名、学号或可跨表关联的匿名编号。</x:v>
      </x:c>
      <x:c r="F2" s="8" t="str">
        <x:v>每人 15–20 分钟。记录行只是表格位置，不得写姓名、学号或可跨表关联的匿名编号。</x:v>
      </x:c>
      <x:c r="G2" s="8" t="str">
        <x:v>每人 15–20 分钟。记录行只是表格位置，不得写姓名、学号或可跨表关联的匿名编号。</x:v>
      </x:c>
      <x:c r="H2" s="8" t="str">
        <x:v>每人 15–20 分钟。记录行只是表格位置，不得写姓名、学号或可跨表关联的匿名编号。</x:v>
      </x:c>
      <x:c r="I2" s="8" t="str">
        <x:v>每人 15–20 分钟。记录行只是表格位置，不得写姓名、学号或可跨表关联的匿名编号。</x:v>
      </x:c>
      <x:c r="J2" s="8" t="str">
        <x:v>每人 15–20 分钟。记录行只是表格位置，不得写姓名、学号或可跨表关联的匿名编号。</x:v>
      </x:c>
      <x:c r="K2" s="8" t="str">
        <x:v>每人 15–20 分钟。记录行只是表格位置，不得写姓名、学号或可跨表关联的匿名编号。</x:v>
      </x:c>
      <x:c r="L2" s="8" t="str">
        <x:v>每人 15–20 分钟。记录行只是表格位置，不得写姓名、学号或可跨表关联的匿名编号。</x:v>
      </x:c>
      <x:c r="M2" s="8" t="str">
        <x:v>每人 15–20 分钟。记录行只是表格位置，不得写姓名、学号或可跨表关联的匿名编号。</x:v>
      </x:c>
    </x:row>
    <x:row r="4" ht="39" customHeight="1">
      <x:c r="A4" s="33" t="str">
        <x:v>记录行</x:v>
      </x:c>
      <x:c r="B4" s="33" t="str">
        <x:v>日期</x:v>
      </x:c>
      <x:c r="C4" s="33" t="str">
        <x:v>平台类别</x:v>
      </x:c>
      <x:c r="D4" s="33" t="str">
        <x:v>独立找到推荐课程</x:v>
      </x:c>
      <x:c r="E4" s="33" t="str">
        <x:v>用时（秒）</x:v>
      </x:c>
      <x:c r="F4" s="33" t="str">
        <x:v>30秒内独立找到</x:v>
      </x:c>
      <x:c r="G4" s="33" t="str">
        <x:v>区分可用/正在绘制</x:v>
      </x:c>
      <x:c r="H4" s="33" t="str">
        <x:v>理解一次地图成长</x:v>
      </x:c>
      <x:c r="I4" s="33" t="str">
        <x:v>三项均达标</x:v>
      </x:c>
      <x:c r="J4" s="33" t="str">
        <x:v>求助次数</x:v>
      </x:c>
      <x:c r="K4" s="33" t="str">
        <x:v>任务完成情况</x:v>
      </x:c>
      <x:c r="L4" s="33" t="str">
        <x:v>最高严重度</x:v>
      </x:c>
      <x:c r="M4" s="33" t="str">
        <x:v>观察备注（不要写姓名）</x:v>
      </x:c>
    </x:row>
    <x:row r="5" ht="24" customHeight="1">
      <x:c r="A5" s="51" t="n">
        <x:v>1</x:v>
      </x:c>
      <x:c r="B5" s="53"/>
      <x:c r="C5" s="26"/>
      <x:c r="D5" s="26"/>
      <x:c r="E5" s="55"/>
      <x:c r="F5" s="57" t="str">
        <x:f>IF(K5="","",IF(AND(D5="是",E5&lt;&gt;"",E5&lt;=30),"是","否"))</x:f>
      </x:c>
      <x:c r="G5" s="26"/>
      <x:c r="H5" s="26"/>
      <x:c r="I5" s="57" t="str">
        <x:f>IF(K5="","",IF(AND(F5="是",G5="是",H5="是"),"是","否"))</x:f>
      </x:c>
      <x:c r="J5" s="55"/>
      <x:c r="K5" s="26"/>
      <x:c r="L5" s="26"/>
      <x:c r="M5" s="26"/>
    </x:row>
    <x:row r="6" ht="24" customHeight="1">
      <x:c r="A6" s="52" t="n">
        <x:v>2</x:v>
      </x:c>
      <x:c r="B6" s="54"/>
      <x:c r="C6" s="28"/>
      <x:c r="D6" s="28"/>
      <x:c r="E6" s="56"/>
      <x:c r="F6" s="58" t="str">
        <x:f>IF(K6="","",IF(AND(D6="是",E6&lt;&gt;"",E6&lt;=30),"是","否"))</x:f>
      </x:c>
      <x:c r="G6" s="28"/>
      <x:c r="H6" s="28"/>
      <x:c r="I6" s="58" t="str">
        <x:f>IF(K6="","",IF(AND(F6="是",G6="是",H6="是"),"是","否"))</x:f>
      </x:c>
      <x:c r="J6" s="56"/>
      <x:c r="K6" s="28"/>
      <x:c r="L6" s="28"/>
      <x:c r="M6" s="28"/>
    </x:row>
    <x:row r="7" ht="24" customHeight="1">
      <x:c r="A7" s="52" t="n">
        <x:v>3</x:v>
      </x:c>
      <x:c r="B7" s="54"/>
      <x:c r="C7" s="28"/>
      <x:c r="D7" s="28"/>
      <x:c r="E7" s="56"/>
      <x:c r="F7" s="58" t="str">
        <x:f>IF(K7="","",IF(AND(D7="是",E7&lt;&gt;"",E7&lt;=30),"是","否"))</x:f>
      </x:c>
      <x:c r="G7" s="28"/>
      <x:c r="H7" s="28"/>
      <x:c r="I7" s="58" t="str">
        <x:f>IF(K7="","",IF(AND(F7="是",G7="是",H7="是"),"是","否"))</x:f>
      </x:c>
      <x:c r="J7" s="56"/>
      <x:c r="K7" s="28"/>
      <x:c r="L7" s="28"/>
      <x:c r="M7" s="28"/>
    </x:row>
    <x:row r="8" ht="24" customHeight="1">
      <x:c r="A8" s="52" t="n">
        <x:v>4</x:v>
      </x:c>
      <x:c r="B8" s="54"/>
      <x:c r="C8" s="28"/>
      <x:c r="D8" s="28"/>
      <x:c r="E8" s="56"/>
      <x:c r="F8" s="58" t="str">
        <x:f>IF(K8="","",IF(AND(D8="是",E8&lt;&gt;"",E8&lt;=30),"是","否"))</x:f>
      </x:c>
      <x:c r="G8" s="28"/>
      <x:c r="H8" s="28"/>
      <x:c r="I8" s="58" t="str">
        <x:f>IF(K8="","",IF(AND(F8="是",G8="是",H8="是"),"是","否"))</x:f>
      </x:c>
      <x:c r="J8" s="56"/>
      <x:c r="K8" s="28"/>
      <x:c r="L8" s="28"/>
      <x:c r="M8" s="28"/>
    </x:row>
    <x:row r="9" ht="24" customHeight="1">
      <x:c r="A9" s="52" t="n">
        <x:v>5</x:v>
      </x:c>
      <x:c r="B9" s="54"/>
      <x:c r="C9" s="28"/>
      <x:c r="D9" s="28"/>
      <x:c r="E9" s="56"/>
      <x:c r="F9" s="58" t="str">
        <x:f>IF(K9="","",IF(AND(D9="是",E9&lt;&gt;"",E9&lt;=30),"是","否"))</x:f>
      </x:c>
      <x:c r="G9" s="28"/>
      <x:c r="H9" s="28"/>
      <x:c r="I9" s="58" t="str">
        <x:f>IF(K9="","",IF(AND(F9="是",G9="是",H9="是"),"是","否"))</x:f>
      </x:c>
      <x:c r="J9" s="56"/>
      <x:c r="K9" s="28"/>
      <x:c r="L9" s="28"/>
      <x:c r="M9" s="28"/>
    </x:row>
    <x:row r="10" ht="24" customHeight="1">
      <x:c r="A10" s="52" t="n">
        <x:v>6</x:v>
      </x:c>
      <x:c r="B10" s="54"/>
      <x:c r="C10" s="28"/>
      <x:c r="D10" s="28"/>
      <x:c r="E10" s="56"/>
      <x:c r="F10" s="58" t="str">
        <x:f>IF(K10="","",IF(AND(D10="是",E10&lt;&gt;"",E10&lt;=30),"是","否"))</x:f>
      </x:c>
      <x:c r="G10" s="28"/>
      <x:c r="H10" s="28"/>
      <x:c r="I10" s="58" t="str">
        <x:f>IF(K10="","",IF(AND(F10="是",G10="是",H10="是"),"是","否"))</x:f>
      </x:c>
      <x:c r="J10" s="56"/>
      <x:c r="K10" s="28"/>
      <x:c r="L10" s="28"/>
      <x:c r="M10" s="28"/>
    </x:row>
    <x:row r="11" ht="24" customHeight="1">
      <x:c r="A11" s="52" t="n">
        <x:v>7</x:v>
      </x:c>
      <x:c r="B11" s="54"/>
      <x:c r="C11" s="28"/>
      <x:c r="D11" s="28"/>
      <x:c r="E11" s="56"/>
      <x:c r="F11" s="58" t="str">
        <x:f>IF(K11="","",IF(AND(D11="是",E11&lt;&gt;"",E11&lt;=30),"是","否"))</x:f>
      </x:c>
      <x:c r="G11" s="28"/>
      <x:c r="H11" s="28"/>
      <x:c r="I11" s="58" t="str">
        <x:f>IF(K11="","",IF(AND(F11="是",G11="是",H11="是"),"是","否"))</x:f>
      </x:c>
      <x:c r="J11" s="56"/>
      <x:c r="K11" s="28"/>
      <x:c r="L11" s="28"/>
      <x:c r="M11" s="28"/>
    </x:row>
    <x:row r="12" ht="24" customHeight="1">
      <x:c r="A12" s="52" t="n">
        <x:v>8</x:v>
      </x:c>
      <x:c r="B12" s="54"/>
      <x:c r="C12" s="28"/>
      <x:c r="D12" s="28"/>
      <x:c r="E12" s="56"/>
      <x:c r="F12" s="58" t="str">
        <x:f>IF(K12="","",IF(AND(D12="是",E12&lt;&gt;"",E12&lt;=30),"是","否"))</x:f>
      </x:c>
      <x:c r="G12" s="28"/>
      <x:c r="H12" s="28"/>
      <x:c r="I12" s="58" t="str">
        <x:f>IF(K12="","",IF(AND(F12="是",G12="是",H12="是"),"是","否"))</x:f>
      </x:c>
      <x:c r="J12" s="56"/>
      <x:c r="K12" s="28"/>
      <x:c r="L12" s="28"/>
      <x:c r="M12" s="28"/>
    </x:row>
  </x:sheetData>
  <x:mergeCells>
    <x:mergeCell ref="A1:M1"/>
    <x:mergeCell ref="A2:M2"/>
  </x:mergeCells>
  <x:conditionalFormatting sqref="D5:I12">
    <x:cfRule type="containsText" dxfId="8" priority="1" operator="containsText" text="是"/>
    <x:cfRule type="containsText" dxfId="9" priority="2" operator="containsText" text="否"/>
  </x:conditionalFormatting>
  <x:conditionalFormatting sqref="L5:L12">
    <x:cfRule type="containsText" dxfId="10" priority="3" operator="containsText" text="P0"/>
    <x:cfRule type="containsText" dxfId="11" priority="4" operator="containsText" text="P1"/>
    <x:cfRule type="containsText" dxfId="12" priority="5" operator="containsText" text="P2"/>
  </x:conditionalFormatting>
  <x:dataValidations count="8">
    <x:dataValidation type="list" sqref="C5:C12">
      <x:formula1>"微信内置浏览器,iPhone Safari,Android Chromium,平板,其他演示设备"</x:formula1>
    </x:dataValidation>
    <x:dataValidation type="list" sqref="D5:D12">
      <x:formula1>"是,否"</x:formula1>
    </x:dataValidation>
    <x:dataValidation type="list" sqref="G5:G12">
      <x:formula1>"是,否"</x:formula1>
    </x:dataValidation>
    <x:dataValidation type="list" sqref="H5:H12">
      <x:formula1>"是,否"</x:formula1>
    </x:dataValidation>
    <x:dataValidation type="whole" operator="between" sqref="E5:E12">
      <x:formula1>0</x:formula1>
      <x:formula2>600</x:formula2>
    </x:dataValidation>
    <x:dataValidation type="whole" operator="between" sqref="J5:J12">
      <x:formula1>0</x:formula1>
      <x:formula2>20</x:formula2>
    </x:dataValidation>
    <x:dataValidation type="list" sqref="K5:K12">
      <x:formula1>"完成,部分完成,未完成"</x:formula1>
    </x:dataValidation>
    <x:dataValidation type="list" sqref="L5:L12">
      <x:formula1>"无,P0,P1,P2"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898af2b64242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440000057220459" hidden="0" customWidth="1"/>
    <x:col min="2" max="2" width="9.779999732971191" hidden="0" customWidth="1"/>
    <x:col min="3" max="3" width="14.670000076293945" hidden="0" customWidth="1"/>
    <x:col min="4" max="4" width="12.4399995803833" hidden="0" customWidth="1"/>
    <x:col min="5" max="5" width="8.670000076293945" hidden="0" customWidth="1"/>
    <x:col min="6" max="6" width="12" hidden="0" customWidth="1"/>
    <x:col min="7" max="7" width="13.329999923706055" hidden="0" customWidth="1"/>
    <x:col min="8" max="8" width="13.329999923706055" hidden="0" customWidth="1"/>
    <x:col min="9" max="9" width="10.670000076293945" hidden="0" customWidth="1"/>
    <x:col min="10" max="10" width="8.670000076293945" hidden="0" customWidth="1"/>
    <x:col min="11" max="11" width="11.329999923706055" hidden="0" customWidth="1"/>
    <x:col min="12" max="12" width="12.220000267028809" hidden="0" customWidth="1"/>
    <x:col min="13" max="13" width="26.670000076293945" hidden="0" customWidth="1"/>
  </x:cols>
  <x:sheetData>
    <x:row r="1" ht="33" customHeight="1">
      <x:c r="A1" s="4" t="str">
        <x:v>第二轮观察（20–30 人）</x:v>
      </x:c>
      <x:c r="B1" s="4" t="str">
        <x:v>第二轮观察（20–30 人）</x:v>
      </x:c>
      <x:c r="C1" s="4" t="str">
        <x:v>第二轮观察（20–30 人）</x:v>
      </x:c>
      <x:c r="D1" s="4" t="str">
        <x:v>第二轮观察（20–30 人）</x:v>
      </x:c>
      <x:c r="E1" s="4" t="str">
        <x:v>第二轮观察（20–30 人）</x:v>
      </x:c>
      <x:c r="F1" s="4" t="str">
        <x:v>第二轮观察（20–30 人）</x:v>
      </x:c>
      <x:c r="G1" s="4" t="str">
        <x:v>第二轮观察（20–30 人）</x:v>
      </x:c>
      <x:c r="H1" s="4" t="str">
        <x:v>第二轮观察（20–30 人）</x:v>
      </x:c>
      <x:c r="I1" s="4" t="str">
        <x:v>第二轮观察（20–30 人）</x:v>
      </x:c>
      <x:c r="J1" s="4" t="str">
        <x:v>第二轮观察（20–30 人）</x:v>
      </x:c>
      <x:c r="K1" s="4" t="str">
        <x:v>第二轮观察（20–30 人）</x:v>
      </x:c>
      <x:c r="L1" s="4" t="str">
        <x:v>第二轮观察（20–30 人）</x:v>
      </x:c>
      <x:c r="M1" s="4" t="str">
        <x:v>第二轮观察（20–30 人）</x:v>
      </x:c>
    </x:row>
    <x:row r="2" ht="31.5" customHeight="1">
      <x:c r="A2" s="8" t="str">
        <x:v>一个班级实际使用一周后，用与第一轮相同的任务和口径完成一次统一检查。</x:v>
      </x:c>
      <x:c r="B2" s="8" t="str">
        <x:v>一个班级实际使用一周后，用与第一轮相同的任务和口径完成一次统一检查。</x:v>
      </x:c>
      <x:c r="C2" s="8" t="str">
        <x:v>一个班级实际使用一周后，用与第一轮相同的任务和口径完成一次统一检查。</x:v>
      </x:c>
      <x:c r="D2" s="8" t="str">
        <x:v>一个班级实际使用一周后，用与第一轮相同的任务和口径完成一次统一检查。</x:v>
      </x:c>
      <x:c r="E2" s="8" t="str">
        <x:v>一个班级实际使用一周后，用与第一轮相同的任务和口径完成一次统一检查。</x:v>
      </x:c>
      <x:c r="F2" s="8" t="str">
        <x:v>一个班级实际使用一周后，用与第一轮相同的任务和口径完成一次统一检查。</x:v>
      </x:c>
      <x:c r="G2" s="8" t="str">
        <x:v>一个班级实际使用一周后，用与第一轮相同的任务和口径完成一次统一检查。</x:v>
      </x:c>
      <x:c r="H2" s="8" t="str">
        <x:v>一个班级实际使用一周后，用与第一轮相同的任务和口径完成一次统一检查。</x:v>
      </x:c>
      <x:c r="I2" s="8" t="str">
        <x:v>一个班级实际使用一周后，用与第一轮相同的任务和口径完成一次统一检查。</x:v>
      </x:c>
      <x:c r="J2" s="8" t="str">
        <x:v>一个班级实际使用一周后，用与第一轮相同的任务和口径完成一次统一检查。</x:v>
      </x:c>
      <x:c r="K2" s="8" t="str">
        <x:v>一个班级实际使用一周后，用与第一轮相同的任务和口径完成一次统一检查。</x:v>
      </x:c>
      <x:c r="L2" s="8" t="str">
        <x:v>一个班级实际使用一周后，用与第一轮相同的任务和口径完成一次统一检查。</x:v>
      </x:c>
      <x:c r="M2" s="8" t="str">
        <x:v>一个班级实际使用一周后，用与第一轮相同的任务和口径完成一次统一检查。</x:v>
      </x:c>
    </x:row>
    <x:row r="4" ht="39" customHeight="1">
      <x:c r="A4" s="33" t="str">
        <x:v>记录行</x:v>
      </x:c>
      <x:c r="B4" s="33" t="str">
        <x:v>日期</x:v>
      </x:c>
      <x:c r="C4" s="33" t="str">
        <x:v>平台类别</x:v>
      </x:c>
      <x:c r="D4" s="33" t="str">
        <x:v>独立找到推荐课程</x:v>
      </x:c>
      <x:c r="E4" s="33" t="str">
        <x:v>用时（秒）</x:v>
      </x:c>
      <x:c r="F4" s="33" t="str">
        <x:v>30秒内独立找到</x:v>
      </x:c>
      <x:c r="G4" s="33" t="str">
        <x:v>区分可用/正在绘制</x:v>
      </x:c>
      <x:c r="H4" s="33" t="str">
        <x:v>理解一次地图成长</x:v>
      </x:c>
      <x:c r="I4" s="33" t="str">
        <x:v>三项均达标</x:v>
      </x:c>
      <x:c r="J4" s="33" t="str">
        <x:v>求助次数</x:v>
      </x:c>
      <x:c r="K4" s="33" t="str">
        <x:v>任务完成情况</x:v>
      </x:c>
      <x:c r="L4" s="33" t="str">
        <x:v>最高严重度</x:v>
      </x:c>
      <x:c r="M4" s="33" t="str">
        <x:v>观察备注（不要写姓名）</x:v>
      </x:c>
    </x:row>
    <x:row r="5" ht="24" customHeight="1">
      <x:c r="A5" s="51" t="n">
        <x:v>1</x:v>
      </x:c>
      <x:c r="B5" s="53"/>
      <x:c r="C5" s="26"/>
      <x:c r="D5" s="26"/>
      <x:c r="E5" s="55"/>
      <x:c r="F5" s="57" t="str">
        <x:f>IF(K5="","",IF(AND(D5="是",E5&lt;&gt;"",E5&lt;=30),"是","否"))</x:f>
      </x:c>
      <x:c r="G5" s="26"/>
      <x:c r="H5" s="26"/>
      <x:c r="I5" s="57" t="str">
        <x:f>IF(K5="","",IF(AND(F5="是",G5="是",H5="是"),"是","否"))</x:f>
      </x:c>
      <x:c r="J5" s="55"/>
      <x:c r="K5" s="26"/>
      <x:c r="L5" s="26"/>
      <x:c r="M5" s="26"/>
    </x:row>
    <x:row r="6" ht="24" customHeight="1">
      <x:c r="A6" s="52" t="n">
        <x:v>2</x:v>
      </x:c>
      <x:c r="B6" s="54"/>
      <x:c r="C6" s="28"/>
      <x:c r="D6" s="28"/>
      <x:c r="E6" s="56"/>
      <x:c r="F6" s="58" t="str">
        <x:f>IF(K6="","",IF(AND(D6="是",E6&lt;&gt;"",E6&lt;=30),"是","否"))</x:f>
      </x:c>
      <x:c r="G6" s="28"/>
      <x:c r="H6" s="28"/>
      <x:c r="I6" s="58" t="str">
        <x:f>IF(K6="","",IF(AND(F6="是",G6="是",H6="是"),"是","否"))</x:f>
      </x:c>
      <x:c r="J6" s="56"/>
      <x:c r="K6" s="28"/>
      <x:c r="L6" s="28"/>
      <x:c r="M6" s="28"/>
    </x:row>
    <x:row r="7" ht="24" customHeight="1">
      <x:c r="A7" s="52" t="n">
        <x:v>3</x:v>
      </x:c>
      <x:c r="B7" s="54"/>
      <x:c r="C7" s="28"/>
      <x:c r="D7" s="28"/>
      <x:c r="E7" s="56"/>
      <x:c r="F7" s="58" t="str">
        <x:f>IF(K7="","",IF(AND(D7="是",E7&lt;&gt;"",E7&lt;=30),"是","否"))</x:f>
      </x:c>
      <x:c r="G7" s="28"/>
      <x:c r="H7" s="28"/>
      <x:c r="I7" s="58" t="str">
        <x:f>IF(K7="","",IF(AND(F7="是",G7="是",H7="是"),"是","否"))</x:f>
      </x:c>
      <x:c r="J7" s="56"/>
      <x:c r="K7" s="28"/>
      <x:c r="L7" s="28"/>
      <x:c r="M7" s="28"/>
    </x:row>
    <x:row r="8" ht="24" customHeight="1">
      <x:c r="A8" s="52" t="n">
        <x:v>4</x:v>
      </x:c>
      <x:c r="B8" s="54"/>
      <x:c r="C8" s="28"/>
      <x:c r="D8" s="28"/>
      <x:c r="E8" s="56"/>
      <x:c r="F8" s="58" t="str">
        <x:f>IF(K8="","",IF(AND(D8="是",E8&lt;&gt;"",E8&lt;=30),"是","否"))</x:f>
      </x:c>
      <x:c r="G8" s="28"/>
      <x:c r="H8" s="28"/>
      <x:c r="I8" s="58" t="str">
        <x:f>IF(K8="","",IF(AND(F8="是",G8="是",H8="是"),"是","否"))</x:f>
      </x:c>
      <x:c r="J8" s="56"/>
      <x:c r="K8" s="28"/>
      <x:c r="L8" s="28"/>
      <x:c r="M8" s="28"/>
    </x:row>
    <x:row r="9" ht="24" customHeight="1">
      <x:c r="A9" s="52" t="n">
        <x:v>5</x:v>
      </x:c>
      <x:c r="B9" s="54"/>
      <x:c r="C9" s="28"/>
      <x:c r="D9" s="28"/>
      <x:c r="E9" s="56"/>
      <x:c r="F9" s="58" t="str">
        <x:f>IF(K9="","",IF(AND(D9="是",E9&lt;&gt;"",E9&lt;=30),"是","否"))</x:f>
      </x:c>
      <x:c r="G9" s="28"/>
      <x:c r="H9" s="28"/>
      <x:c r="I9" s="58" t="str">
        <x:f>IF(K9="","",IF(AND(F9="是",G9="是",H9="是"),"是","否"))</x:f>
      </x:c>
      <x:c r="J9" s="56"/>
      <x:c r="K9" s="28"/>
      <x:c r="L9" s="28"/>
      <x:c r="M9" s="28"/>
    </x:row>
    <x:row r="10" ht="24" customHeight="1">
      <x:c r="A10" s="52" t="n">
        <x:v>6</x:v>
      </x:c>
      <x:c r="B10" s="54"/>
      <x:c r="C10" s="28"/>
      <x:c r="D10" s="28"/>
      <x:c r="E10" s="56"/>
      <x:c r="F10" s="58" t="str">
        <x:f>IF(K10="","",IF(AND(D10="是",E10&lt;&gt;"",E10&lt;=30),"是","否"))</x:f>
      </x:c>
      <x:c r="G10" s="28"/>
      <x:c r="H10" s="28"/>
      <x:c r="I10" s="58" t="str">
        <x:f>IF(K10="","",IF(AND(F10="是",G10="是",H10="是"),"是","否"))</x:f>
      </x:c>
      <x:c r="J10" s="56"/>
      <x:c r="K10" s="28"/>
      <x:c r="L10" s="28"/>
      <x:c r="M10" s="28"/>
    </x:row>
    <x:row r="11" ht="24" customHeight="1">
      <x:c r="A11" s="52" t="n">
        <x:v>7</x:v>
      </x:c>
      <x:c r="B11" s="54"/>
      <x:c r="C11" s="28"/>
      <x:c r="D11" s="28"/>
      <x:c r="E11" s="56"/>
      <x:c r="F11" s="58" t="str">
        <x:f>IF(K11="","",IF(AND(D11="是",E11&lt;&gt;"",E11&lt;=30),"是","否"))</x:f>
      </x:c>
      <x:c r="G11" s="28"/>
      <x:c r="H11" s="28"/>
      <x:c r="I11" s="58" t="str">
        <x:f>IF(K11="","",IF(AND(F11="是",G11="是",H11="是"),"是","否"))</x:f>
      </x:c>
      <x:c r="J11" s="56"/>
      <x:c r="K11" s="28"/>
      <x:c r="L11" s="28"/>
      <x:c r="M11" s="28"/>
    </x:row>
    <x:row r="12" ht="24" customHeight="1">
      <x:c r="A12" s="52" t="n">
        <x:v>8</x:v>
      </x:c>
      <x:c r="B12" s="54"/>
      <x:c r="C12" s="28"/>
      <x:c r="D12" s="28"/>
      <x:c r="E12" s="56"/>
      <x:c r="F12" s="58" t="str">
        <x:f>IF(K12="","",IF(AND(D12="是",E12&lt;&gt;"",E12&lt;=30),"是","否"))</x:f>
      </x:c>
      <x:c r="G12" s="28"/>
      <x:c r="H12" s="28"/>
      <x:c r="I12" s="58" t="str">
        <x:f>IF(K12="","",IF(AND(F12="是",G12="是",H12="是"),"是","否"))</x:f>
      </x:c>
      <x:c r="J12" s="56"/>
      <x:c r="K12" s="28"/>
      <x:c r="L12" s="28"/>
      <x:c r="M12" s="28"/>
    </x:row>
    <x:row r="13" ht="24" customHeight="1">
      <x:c r="A13" s="52" t="n">
        <x:v>9</x:v>
      </x:c>
      <x:c r="B13" s="54"/>
      <x:c r="C13" s="28"/>
      <x:c r="D13" s="28"/>
      <x:c r="E13" s="56"/>
      <x:c r="F13" s="58" t="str">
        <x:f>IF(K13="","",IF(AND(D13="是",E13&lt;&gt;"",E13&lt;=30),"是","否"))</x:f>
      </x:c>
      <x:c r="G13" s="28"/>
      <x:c r="H13" s="28"/>
      <x:c r="I13" s="58" t="str">
        <x:f>IF(K13="","",IF(AND(F13="是",G13="是",H13="是"),"是","否"))</x:f>
      </x:c>
      <x:c r="J13" s="56"/>
      <x:c r="K13" s="28"/>
      <x:c r="L13" s="28"/>
      <x:c r="M13" s="28"/>
    </x:row>
    <x:row r="14" ht="24" customHeight="1">
      <x:c r="A14" s="52" t="n">
        <x:v>10</x:v>
      </x:c>
      <x:c r="B14" s="54"/>
      <x:c r="C14" s="28"/>
      <x:c r="D14" s="28"/>
      <x:c r="E14" s="56"/>
      <x:c r="F14" s="58" t="str">
        <x:f>IF(K14="","",IF(AND(D14="是",E14&lt;&gt;"",E14&lt;=30),"是","否"))</x:f>
      </x:c>
      <x:c r="G14" s="28"/>
      <x:c r="H14" s="28"/>
      <x:c r="I14" s="58" t="str">
        <x:f>IF(K14="","",IF(AND(F14="是",G14="是",H14="是"),"是","否"))</x:f>
      </x:c>
      <x:c r="J14" s="56"/>
      <x:c r="K14" s="28"/>
      <x:c r="L14" s="28"/>
      <x:c r="M14" s="28"/>
    </x:row>
    <x:row r="15" ht="24" customHeight="1">
      <x:c r="A15" s="52" t="n">
        <x:v>11</x:v>
      </x:c>
      <x:c r="B15" s="54"/>
      <x:c r="C15" s="28"/>
      <x:c r="D15" s="28"/>
      <x:c r="E15" s="56"/>
      <x:c r="F15" s="58" t="str">
        <x:f>IF(K15="","",IF(AND(D15="是",E15&lt;&gt;"",E15&lt;=30),"是","否"))</x:f>
      </x:c>
      <x:c r="G15" s="28"/>
      <x:c r="H15" s="28"/>
      <x:c r="I15" s="58" t="str">
        <x:f>IF(K15="","",IF(AND(F15="是",G15="是",H15="是"),"是","否"))</x:f>
      </x:c>
      <x:c r="J15" s="56"/>
      <x:c r="K15" s="28"/>
      <x:c r="L15" s="28"/>
      <x:c r="M15" s="28"/>
    </x:row>
    <x:row r="16" ht="24" customHeight="1">
      <x:c r="A16" s="52" t="n">
        <x:v>12</x:v>
      </x:c>
      <x:c r="B16" s="54"/>
      <x:c r="C16" s="28"/>
      <x:c r="D16" s="28"/>
      <x:c r="E16" s="56"/>
      <x:c r="F16" s="58" t="str">
        <x:f>IF(K16="","",IF(AND(D16="是",E16&lt;&gt;"",E16&lt;=30),"是","否"))</x:f>
      </x:c>
      <x:c r="G16" s="28"/>
      <x:c r="H16" s="28"/>
      <x:c r="I16" s="58" t="str">
        <x:f>IF(K16="","",IF(AND(F16="是",G16="是",H16="是"),"是","否"))</x:f>
      </x:c>
      <x:c r="J16" s="56"/>
      <x:c r="K16" s="28"/>
      <x:c r="L16" s="28"/>
      <x:c r="M16" s="28"/>
    </x:row>
    <x:row r="17" ht="24" customHeight="1">
      <x:c r="A17" s="52" t="n">
        <x:v>13</x:v>
      </x:c>
      <x:c r="B17" s="54"/>
      <x:c r="C17" s="28"/>
      <x:c r="D17" s="28"/>
      <x:c r="E17" s="56"/>
      <x:c r="F17" s="58" t="str">
        <x:f>IF(K17="","",IF(AND(D17="是",E17&lt;&gt;"",E17&lt;=30),"是","否"))</x:f>
      </x:c>
      <x:c r="G17" s="28"/>
      <x:c r="H17" s="28"/>
      <x:c r="I17" s="58" t="str">
        <x:f>IF(K17="","",IF(AND(F17="是",G17="是",H17="是"),"是","否"))</x:f>
      </x:c>
      <x:c r="J17" s="56"/>
      <x:c r="K17" s="28"/>
      <x:c r="L17" s="28"/>
      <x:c r="M17" s="28"/>
    </x:row>
    <x:row r="18" ht="24" customHeight="1">
      <x:c r="A18" s="52" t="n">
        <x:v>14</x:v>
      </x:c>
      <x:c r="B18" s="54"/>
      <x:c r="C18" s="28"/>
      <x:c r="D18" s="28"/>
      <x:c r="E18" s="56"/>
      <x:c r="F18" s="58" t="str">
        <x:f>IF(K18="","",IF(AND(D18="是",E18&lt;&gt;"",E18&lt;=30),"是","否"))</x:f>
      </x:c>
      <x:c r="G18" s="28"/>
      <x:c r="H18" s="28"/>
      <x:c r="I18" s="58" t="str">
        <x:f>IF(K18="","",IF(AND(F18="是",G18="是",H18="是"),"是","否"))</x:f>
      </x:c>
      <x:c r="J18" s="56"/>
      <x:c r="K18" s="28"/>
      <x:c r="L18" s="28"/>
      <x:c r="M18" s="28"/>
    </x:row>
    <x:row r="19" ht="24" customHeight="1">
      <x:c r="A19" s="52" t="n">
        <x:v>15</x:v>
      </x:c>
      <x:c r="B19" s="54"/>
      <x:c r="C19" s="28"/>
      <x:c r="D19" s="28"/>
      <x:c r="E19" s="56"/>
      <x:c r="F19" s="58" t="str">
        <x:f>IF(K19="","",IF(AND(D19="是",E19&lt;&gt;"",E19&lt;=30),"是","否"))</x:f>
      </x:c>
      <x:c r="G19" s="28"/>
      <x:c r="H19" s="28"/>
      <x:c r="I19" s="58" t="str">
        <x:f>IF(K19="","",IF(AND(F19="是",G19="是",H19="是"),"是","否"))</x:f>
      </x:c>
      <x:c r="J19" s="56"/>
      <x:c r="K19" s="28"/>
      <x:c r="L19" s="28"/>
      <x:c r="M19" s="28"/>
    </x:row>
    <x:row r="20" ht="24" customHeight="1">
      <x:c r="A20" s="52" t="n">
        <x:v>16</x:v>
      </x:c>
      <x:c r="B20" s="54"/>
      <x:c r="C20" s="28"/>
      <x:c r="D20" s="28"/>
      <x:c r="E20" s="56"/>
      <x:c r="F20" s="58" t="str">
        <x:f>IF(K20="","",IF(AND(D20="是",E20&lt;&gt;"",E20&lt;=30),"是","否"))</x:f>
      </x:c>
      <x:c r="G20" s="28"/>
      <x:c r="H20" s="28"/>
      <x:c r="I20" s="58" t="str">
        <x:f>IF(K20="","",IF(AND(F20="是",G20="是",H20="是"),"是","否"))</x:f>
      </x:c>
      <x:c r="J20" s="56"/>
      <x:c r="K20" s="28"/>
      <x:c r="L20" s="28"/>
      <x:c r="M20" s="28"/>
    </x:row>
    <x:row r="21" ht="24" customHeight="1">
      <x:c r="A21" s="52" t="n">
        <x:v>17</x:v>
      </x:c>
      <x:c r="B21" s="54"/>
      <x:c r="C21" s="28"/>
      <x:c r="D21" s="28"/>
      <x:c r="E21" s="56"/>
      <x:c r="F21" s="58" t="str">
        <x:f>IF(K21="","",IF(AND(D21="是",E21&lt;&gt;"",E21&lt;=30),"是","否"))</x:f>
      </x:c>
      <x:c r="G21" s="28"/>
      <x:c r="H21" s="28"/>
      <x:c r="I21" s="58" t="str">
        <x:f>IF(K21="","",IF(AND(F21="是",G21="是",H21="是"),"是","否"))</x:f>
      </x:c>
      <x:c r="J21" s="56"/>
      <x:c r="K21" s="28"/>
      <x:c r="L21" s="28"/>
      <x:c r="M21" s="28"/>
    </x:row>
    <x:row r="22" ht="24" customHeight="1">
      <x:c r="A22" s="52" t="n">
        <x:v>18</x:v>
      </x:c>
      <x:c r="B22" s="54"/>
      <x:c r="C22" s="28"/>
      <x:c r="D22" s="28"/>
      <x:c r="E22" s="56"/>
      <x:c r="F22" s="58" t="str">
        <x:f>IF(K22="","",IF(AND(D22="是",E22&lt;&gt;"",E22&lt;=30),"是","否"))</x:f>
      </x:c>
      <x:c r="G22" s="28"/>
      <x:c r="H22" s="28"/>
      <x:c r="I22" s="58" t="str">
        <x:f>IF(K22="","",IF(AND(F22="是",G22="是",H22="是"),"是","否"))</x:f>
      </x:c>
      <x:c r="J22" s="56"/>
      <x:c r="K22" s="28"/>
      <x:c r="L22" s="28"/>
      <x:c r="M22" s="28"/>
    </x:row>
    <x:row r="23" ht="24" customHeight="1">
      <x:c r="A23" s="52" t="n">
        <x:v>19</x:v>
      </x:c>
      <x:c r="B23" s="54"/>
      <x:c r="C23" s="28"/>
      <x:c r="D23" s="28"/>
      <x:c r="E23" s="56"/>
      <x:c r="F23" s="58" t="str">
        <x:f>IF(K23="","",IF(AND(D23="是",E23&lt;&gt;"",E23&lt;=30),"是","否"))</x:f>
      </x:c>
      <x:c r="G23" s="28"/>
      <x:c r="H23" s="28"/>
      <x:c r="I23" s="58" t="str">
        <x:f>IF(K23="","",IF(AND(F23="是",G23="是",H23="是"),"是","否"))</x:f>
      </x:c>
      <x:c r="J23" s="56"/>
      <x:c r="K23" s="28"/>
      <x:c r="L23" s="28"/>
      <x:c r="M23" s="28"/>
    </x:row>
    <x:row r="24" ht="24" customHeight="1">
      <x:c r="A24" s="52" t="n">
        <x:v>20</x:v>
      </x:c>
      <x:c r="B24" s="54"/>
      <x:c r="C24" s="28"/>
      <x:c r="D24" s="28"/>
      <x:c r="E24" s="56"/>
      <x:c r="F24" s="58" t="str">
        <x:f>IF(K24="","",IF(AND(D24="是",E24&lt;&gt;"",E24&lt;=30),"是","否"))</x:f>
      </x:c>
      <x:c r="G24" s="28"/>
      <x:c r="H24" s="28"/>
      <x:c r="I24" s="58" t="str">
        <x:f>IF(K24="","",IF(AND(F24="是",G24="是",H24="是"),"是","否"))</x:f>
      </x:c>
      <x:c r="J24" s="56"/>
      <x:c r="K24" s="28"/>
      <x:c r="L24" s="28"/>
      <x:c r="M24" s="28"/>
    </x:row>
    <x:row r="25" ht="24" customHeight="1">
      <x:c r="A25" s="52" t="n">
        <x:v>21</x:v>
      </x:c>
      <x:c r="B25" s="54"/>
      <x:c r="C25" s="28"/>
      <x:c r="D25" s="28"/>
      <x:c r="E25" s="56"/>
      <x:c r="F25" s="58" t="str">
        <x:f>IF(K25="","",IF(AND(D25="是",E25&lt;&gt;"",E25&lt;=30),"是","否"))</x:f>
      </x:c>
      <x:c r="G25" s="28"/>
      <x:c r="H25" s="28"/>
      <x:c r="I25" s="58" t="str">
        <x:f>IF(K25="","",IF(AND(F25="是",G25="是",H25="是"),"是","否"))</x:f>
      </x:c>
      <x:c r="J25" s="56"/>
      <x:c r="K25" s="28"/>
      <x:c r="L25" s="28"/>
      <x:c r="M25" s="28"/>
    </x:row>
    <x:row r="26" ht="24" customHeight="1">
      <x:c r="A26" s="52" t="n">
        <x:v>22</x:v>
      </x:c>
      <x:c r="B26" s="54"/>
      <x:c r="C26" s="28"/>
      <x:c r="D26" s="28"/>
      <x:c r="E26" s="56"/>
      <x:c r="F26" s="58" t="str">
        <x:f>IF(K26="","",IF(AND(D26="是",E26&lt;&gt;"",E26&lt;=30),"是","否"))</x:f>
      </x:c>
      <x:c r="G26" s="28"/>
      <x:c r="H26" s="28"/>
      <x:c r="I26" s="58" t="str">
        <x:f>IF(K26="","",IF(AND(F26="是",G26="是",H26="是"),"是","否"))</x:f>
      </x:c>
      <x:c r="J26" s="56"/>
      <x:c r="K26" s="28"/>
      <x:c r="L26" s="28"/>
      <x:c r="M26" s="28"/>
    </x:row>
    <x:row r="27" ht="24" customHeight="1">
      <x:c r="A27" s="52" t="n">
        <x:v>23</x:v>
      </x:c>
      <x:c r="B27" s="54"/>
      <x:c r="C27" s="28"/>
      <x:c r="D27" s="28"/>
      <x:c r="E27" s="56"/>
      <x:c r="F27" s="58" t="str">
        <x:f>IF(K27="","",IF(AND(D27="是",E27&lt;&gt;"",E27&lt;=30),"是","否"))</x:f>
      </x:c>
      <x:c r="G27" s="28"/>
      <x:c r="H27" s="28"/>
      <x:c r="I27" s="58" t="str">
        <x:f>IF(K27="","",IF(AND(F27="是",G27="是",H27="是"),"是","否"))</x:f>
      </x:c>
      <x:c r="J27" s="56"/>
      <x:c r="K27" s="28"/>
      <x:c r="L27" s="28"/>
      <x:c r="M27" s="28"/>
    </x:row>
    <x:row r="28" ht="24" customHeight="1">
      <x:c r="A28" s="52" t="n">
        <x:v>24</x:v>
      </x:c>
      <x:c r="B28" s="54"/>
      <x:c r="C28" s="28"/>
      <x:c r="D28" s="28"/>
      <x:c r="E28" s="56"/>
      <x:c r="F28" s="58" t="str">
        <x:f>IF(K28="","",IF(AND(D28="是",E28&lt;&gt;"",E28&lt;=30),"是","否"))</x:f>
      </x:c>
      <x:c r="G28" s="28"/>
      <x:c r="H28" s="28"/>
      <x:c r="I28" s="58" t="str">
        <x:f>IF(K28="","",IF(AND(F28="是",G28="是",H28="是"),"是","否"))</x:f>
      </x:c>
      <x:c r="J28" s="56"/>
      <x:c r="K28" s="28"/>
      <x:c r="L28" s="28"/>
      <x:c r="M28" s="28"/>
    </x:row>
    <x:row r="29" ht="24" customHeight="1">
      <x:c r="A29" s="52" t="n">
        <x:v>25</x:v>
      </x:c>
      <x:c r="B29" s="54"/>
      <x:c r="C29" s="28"/>
      <x:c r="D29" s="28"/>
      <x:c r="E29" s="56"/>
      <x:c r="F29" s="58" t="str">
        <x:f>IF(K29="","",IF(AND(D29="是",E29&lt;&gt;"",E29&lt;=30),"是","否"))</x:f>
      </x:c>
      <x:c r="G29" s="28"/>
      <x:c r="H29" s="28"/>
      <x:c r="I29" s="58" t="str">
        <x:f>IF(K29="","",IF(AND(F29="是",G29="是",H29="是"),"是","否"))</x:f>
      </x:c>
      <x:c r="J29" s="56"/>
      <x:c r="K29" s="28"/>
      <x:c r="L29" s="28"/>
      <x:c r="M29" s="28"/>
    </x:row>
    <x:row r="30" ht="24" customHeight="1">
      <x:c r="A30" s="52" t="n">
        <x:v>26</x:v>
      </x:c>
      <x:c r="B30" s="54"/>
      <x:c r="C30" s="28"/>
      <x:c r="D30" s="28"/>
      <x:c r="E30" s="56"/>
      <x:c r="F30" s="58" t="str">
        <x:f>IF(K30="","",IF(AND(D30="是",E30&lt;&gt;"",E30&lt;=30),"是","否"))</x:f>
      </x:c>
      <x:c r="G30" s="28"/>
      <x:c r="H30" s="28"/>
      <x:c r="I30" s="58" t="str">
        <x:f>IF(K30="","",IF(AND(F30="是",G30="是",H30="是"),"是","否"))</x:f>
      </x:c>
      <x:c r="J30" s="56"/>
      <x:c r="K30" s="28"/>
      <x:c r="L30" s="28"/>
      <x:c r="M30" s="28"/>
    </x:row>
    <x:row r="31" ht="24" customHeight="1">
      <x:c r="A31" s="52" t="n">
        <x:v>27</x:v>
      </x:c>
      <x:c r="B31" s="54"/>
      <x:c r="C31" s="28"/>
      <x:c r="D31" s="28"/>
      <x:c r="E31" s="56"/>
      <x:c r="F31" s="58" t="str">
        <x:f>IF(K31="","",IF(AND(D31="是",E31&lt;&gt;"",E31&lt;=30),"是","否"))</x:f>
      </x:c>
      <x:c r="G31" s="28"/>
      <x:c r="H31" s="28"/>
      <x:c r="I31" s="58" t="str">
        <x:f>IF(K31="","",IF(AND(F31="是",G31="是",H31="是"),"是","否"))</x:f>
      </x:c>
      <x:c r="J31" s="56"/>
      <x:c r="K31" s="28"/>
      <x:c r="L31" s="28"/>
      <x:c r="M31" s="28"/>
    </x:row>
    <x:row r="32" ht="24" customHeight="1">
      <x:c r="A32" s="52" t="n">
        <x:v>28</x:v>
      </x:c>
      <x:c r="B32" s="54"/>
      <x:c r="C32" s="28"/>
      <x:c r="D32" s="28"/>
      <x:c r="E32" s="56"/>
      <x:c r="F32" s="58" t="str">
        <x:f>IF(K32="","",IF(AND(D32="是",E32&lt;&gt;"",E32&lt;=30),"是","否"))</x:f>
      </x:c>
      <x:c r="G32" s="28"/>
      <x:c r="H32" s="28"/>
      <x:c r="I32" s="58" t="str">
        <x:f>IF(K32="","",IF(AND(F32="是",G32="是",H32="是"),"是","否"))</x:f>
      </x:c>
      <x:c r="J32" s="56"/>
      <x:c r="K32" s="28"/>
      <x:c r="L32" s="28"/>
      <x:c r="M32" s="28"/>
    </x:row>
    <x:row r="33" ht="24" customHeight="1">
      <x:c r="A33" s="52" t="n">
        <x:v>29</x:v>
      </x:c>
      <x:c r="B33" s="54"/>
      <x:c r="C33" s="28"/>
      <x:c r="D33" s="28"/>
      <x:c r="E33" s="56"/>
      <x:c r="F33" s="58" t="str">
        <x:f>IF(K33="","",IF(AND(D33="是",E33&lt;&gt;"",E33&lt;=30),"是","否"))</x:f>
      </x:c>
      <x:c r="G33" s="28"/>
      <x:c r="H33" s="28"/>
      <x:c r="I33" s="58" t="str">
        <x:f>IF(K33="","",IF(AND(F33="是",G33="是",H33="是"),"是","否"))</x:f>
      </x:c>
      <x:c r="J33" s="56"/>
      <x:c r="K33" s="28"/>
      <x:c r="L33" s="28"/>
      <x:c r="M33" s="28"/>
    </x:row>
    <x:row r="34" ht="24" customHeight="1">
      <x:c r="A34" s="52" t="n">
        <x:v>30</x:v>
      </x:c>
      <x:c r="B34" s="54"/>
      <x:c r="C34" s="28"/>
      <x:c r="D34" s="28"/>
      <x:c r="E34" s="56"/>
      <x:c r="F34" s="58" t="str">
        <x:f>IF(K34="","",IF(AND(D34="是",E34&lt;&gt;"",E34&lt;=30),"是","否"))</x:f>
      </x:c>
      <x:c r="G34" s="28"/>
      <x:c r="H34" s="28"/>
      <x:c r="I34" s="58" t="str">
        <x:f>IF(K34="","",IF(AND(F34="是",G34="是",H34="是"),"是","否"))</x:f>
      </x:c>
      <x:c r="J34" s="56"/>
      <x:c r="K34" s="28"/>
      <x:c r="L34" s="28"/>
      <x:c r="M34" s="28"/>
    </x:row>
  </x:sheetData>
  <x:mergeCells>
    <x:mergeCell ref="A1:M1"/>
    <x:mergeCell ref="A2:M2"/>
  </x:mergeCells>
  <x:conditionalFormatting sqref="D5:I34">
    <x:cfRule type="containsText" dxfId="13" priority="1" operator="containsText" text="是"/>
    <x:cfRule type="containsText" dxfId="14" priority="2" operator="containsText" text="否"/>
  </x:conditionalFormatting>
  <x:conditionalFormatting sqref="L5:L34">
    <x:cfRule type="containsText" dxfId="15" priority="3" operator="containsText" text="P0"/>
    <x:cfRule type="containsText" dxfId="16" priority="4" operator="containsText" text="P1"/>
    <x:cfRule type="containsText" dxfId="17" priority="5" operator="containsText" text="P2"/>
  </x:conditionalFormatting>
  <x:dataValidations count="8">
    <x:dataValidation type="list" sqref="C5:C34">
      <x:formula1>"微信内置浏览器,iPhone Safari,Android Chromium,平板,其他演示设备"</x:formula1>
    </x:dataValidation>
    <x:dataValidation type="list" sqref="D5:D34">
      <x:formula1>"是,否"</x:formula1>
    </x:dataValidation>
    <x:dataValidation type="list" sqref="G5:G34">
      <x:formula1>"是,否"</x:formula1>
    </x:dataValidation>
    <x:dataValidation type="list" sqref="H5:H34">
      <x:formula1>"是,否"</x:formula1>
    </x:dataValidation>
    <x:dataValidation type="whole" operator="between" sqref="E5:E34">
      <x:formula1>0</x:formula1>
      <x:formula2>600</x:formula2>
    </x:dataValidation>
    <x:dataValidation type="whole" operator="between" sqref="J5:J34">
      <x:formula1>0</x:formula1>
      <x:formula2>20</x:formula2>
    </x:dataValidation>
    <x:dataValidation type="list" sqref="K5:K34">
      <x:formula1>"完成,部分完成,未完成"</x:formula1>
    </x:dataValidation>
    <x:dataValidation type="list" sqref="L5:L34">
      <x:formula1>"无,P0,P1,P2"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f90637b5ac4f1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440000057220459" hidden="0" customWidth="1"/>
    <x:col min="2" max="2" width="9.109999656677246" hidden="0" customWidth="1"/>
    <x:col min="3" max="3" width="9.779999732971191" hidden="0" customWidth="1"/>
    <x:col min="4" max="4" width="14.4399995803833" hidden="0" customWidth="1"/>
    <x:col min="5" max="5" width="14.670000076293945" hidden="0" customWidth="1"/>
    <x:col min="6" max="6" width="8" hidden="0" customWidth="1"/>
    <x:col min="7" max="7" width="12.4399995803833" hidden="0" customWidth="1"/>
    <x:col min="8" max="8" width="28.889999389648438" hidden="0" customWidth="1"/>
    <x:col min="9" max="9" width="24.440000534057617" hidden="0" customWidth="1"/>
    <x:col min="10" max="10" width="24.440000534057617" hidden="0" customWidth="1"/>
    <x:col min="11" max="11" width="20" hidden="0" customWidth="1"/>
    <x:col min="12" max="12" width="9.779999732971191" hidden="0" customWidth="1"/>
    <x:col min="13" max="13" width="20" hidden="0" customWidth="1"/>
  </x:cols>
  <x:sheetData>
    <x:row r="1" ht="33" customHeight="1">
      <x:c r="A1" s="4" t="str">
        <x:v>试用问题记录</x:v>
      </x:c>
      <x:c r="B1" s="4" t="str">
        <x:v>试用问题记录</x:v>
      </x:c>
      <x:c r="C1" s="4" t="str">
        <x:v>试用问题记录</x:v>
      </x:c>
      <x:c r="D1" s="4" t="str">
        <x:v>试用问题记录</x:v>
      </x:c>
      <x:c r="E1" s="4" t="str">
        <x:v>试用问题记录</x:v>
      </x:c>
      <x:c r="F1" s="4" t="str">
        <x:v>试用问题记录</x:v>
      </x:c>
      <x:c r="G1" s="4" t="str">
        <x:v>试用问题记录</x:v>
      </x:c>
      <x:c r="H1" s="4" t="str">
        <x:v>试用问题记录</x:v>
      </x:c>
      <x:c r="I1" s="4" t="str">
        <x:v>试用问题记录</x:v>
      </x:c>
      <x:c r="J1" s="4" t="str">
        <x:v>试用问题记录</x:v>
      </x:c>
      <x:c r="K1" s="4" t="str">
        <x:v>试用问题记录</x:v>
      </x:c>
      <x:c r="L1" s="4" t="str">
        <x:v>试用问题记录</x:v>
      </x:c>
      <x:c r="M1" s="4" t="str">
        <x:v>试用问题记录</x:v>
      </x:c>
    </x:row>
    <x:row r="2" ht="31.5" customHeight="1">
      <x:c r="A2" s="8" t="str">
        <x:v>只记录可复现的产品问题。证据不得包含孩子姓名、脸部、声音、账号、设备唯一标识或个人学习数据。</x:v>
      </x:c>
      <x:c r="B2" s="8" t="str">
        <x:v>只记录可复现的产品问题。证据不得包含孩子姓名、脸部、声音、账号、设备唯一标识或个人学习数据。</x:v>
      </x:c>
      <x:c r="C2" s="8" t="str">
        <x:v>只记录可复现的产品问题。证据不得包含孩子姓名、脸部、声音、账号、设备唯一标识或个人学习数据。</x:v>
      </x:c>
      <x:c r="D2" s="8" t="str">
        <x:v>只记录可复现的产品问题。证据不得包含孩子姓名、脸部、声音、账号、设备唯一标识或个人学习数据。</x:v>
      </x:c>
      <x:c r="E2" s="8" t="str">
        <x:v>只记录可复现的产品问题。证据不得包含孩子姓名、脸部、声音、账号、设备唯一标识或个人学习数据。</x:v>
      </x:c>
      <x:c r="F2" s="8" t="str">
        <x:v>只记录可复现的产品问题。证据不得包含孩子姓名、脸部、声音、账号、设备唯一标识或个人学习数据。</x:v>
      </x:c>
      <x:c r="G2" s="8" t="str">
        <x:v>只记录可复现的产品问题。证据不得包含孩子姓名、脸部、声音、账号、设备唯一标识或个人学习数据。</x:v>
      </x:c>
      <x:c r="H2" s="8" t="str">
        <x:v>只记录可复现的产品问题。证据不得包含孩子姓名、脸部、声音、账号、设备唯一标识或个人学习数据。</x:v>
      </x:c>
      <x:c r="I2" s="8" t="str">
        <x:v>只记录可复现的产品问题。证据不得包含孩子姓名、脸部、声音、账号、设备唯一标识或个人学习数据。</x:v>
      </x:c>
      <x:c r="J2" s="8" t="str">
        <x:v>只记录可复现的产品问题。证据不得包含孩子姓名、脸部、声音、账号、设备唯一标识或个人学习数据。</x:v>
      </x:c>
      <x:c r="K2" s="8" t="str">
        <x:v>只记录可复现的产品问题。证据不得包含孩子姓名、脸部、声音、账号、设备唯一标识或个人学习数据。</x:v>
      </x:c>
      <x:c r="L2" s="8" t="str">
        <x:v>只记录可复现的产品问题。证据不得包含孩子姓名、脸部、声音、账号、设备唯一标识或个人学习数据。</x:v>
      </x:c>
      <x:c r="M2" s="8" t="str">
        <x:v>只记录可复现的产品问题。证据不得包含孩子姓名、脸部、声音、账号、设备唯一标识或个人学习数据。</x:v>
      </x:c>
    </x:row>
    <x:row r="4" ht="33" customHeight="1">
      <x:c r="A4" s="33" t="str">
        <x:v>问题行</x:v>
      </x:c>
      <x:c r="B4" s="33" t="str">
        <x:v>轮次</x:v>
      </x:c>
      <x:c r="C4" s="33" t="str">
        <x:v>日期</x:v>
      </x:c>
      <x:c r="D4" s="33" t="str">
        <x:v>任务步骤</x:v>
      </x:c>
      <x:c r="E4" s="33" t="str">
        <x:v>平台类别</x:v>
      </x:c>
      <x:c r="F4" s="33" t="str">
        <x:v>严重度</x:v>
      </x:c>
      <x:c r="G4" s="33" t="str">
        <x:v>阻塞多数使用者</x:v>
      </x:c>
      <x:c r="H4" s="33" t="str">
        <x:v>复现步骤</x:v>
      </x:c>
      <x:c r="I4" s="33" t="str">
        <x:v>期望结果</x:v>
      </x:c>
      <x:c r="J4" s="33" t="str">
        <x:v>实际结果</x:v>
      </x:c>
      <x:c r="K4" s="33" t="str">
        <x:v>证据位置（内部）</x:v>
      </x:c>
      <x:c r="L4" s="33" t="str">
        <x:v>状态</x:v>
      </x:c>
      <x:c r="M4" s="33" t="str">
        <x:v>备注</x:v>
      </x:c>
    </x:row>
    <x:row r="5" ht="24" customHeight="1">
      <x:c r="A5" s="26" t="n">
        <x:v>1</x:v>
      </x:c>
      <x:c r="B5" s="26"/>
      <x:c r="C5" s="53"/>
      <x:c r="D5" s="26"/>
      <x:c r="E5" s="26"/>
      <x:c r="F5" s="26"/>
      <x:c r="G5" s="26"/>
      <x:c r="H5" s="26"/>
      <x:c r="I5" s="26"/>
      <x:c r="J5" s="26"/>
      <x:c r="K5" s="26"/>
      <x:c r="L5" s="26"/>
      <x:c r="M5" s="26"/>
    </x:row>
    <x:row r="6" ht="24" customHeight="1">
      <x:c r="A6" s="28" t="n">
        <x:v>2</x:v>
      </x:c>
      <x:c r="B6" s="28"/>
      <x:c r="C6" s="54"/>
      <x:c r="D6" s="28"/>
      <x:c r="E6" s="28"/>
      <x:c r="F6" s="28"/>
      <x:c r="G6" s="28"/>
      <x:c r="H6" s="28"/>
      <x:c r="I6" s="28"/>
      <x:c r="J6" s="28"/>
      <x:c r="K6" s="28"/>
      <x:c r="L6" s="28"/>
      <x:c r="M6" s="28"/>
    </x:row>
    <x:row r="7" ht="24" customHeight="1">
      <x:c r="A7" s="28" t="n">
        <x:v>3</x:v>
      </x:c>
      <x:c r="B7" s="28"/>
      <x:c r="C7" s="54"/>
      <x:c r="D7" s="28"/>
      <x:c r="E7" s="28"/>
      <x:c r="F7" s="28"/>
      <x:c r="G7" s="28"/>
      <x:c r="H7" s="28"/>
      <x:c r="I7" s="28"/>
      <x:c r="J7" s="28"/>
      <x:c r="K7" s="28"/>
      <x:c r="L7" s="28"/>
      <x:c r="M7" s="28"/>
    </x:row>
    <x:row r="8" ht="24" customHeight="1">
      <x:c r="A8" s="28" t="n">
        <x:v>4</x:v>
      </x:c>
      <x:c r="B8" s="28"/>
      <x:c r="C8" s="54"/>
      <x:c r="D8" s="28"/>
      <x:c r="E8" s="28"/>
      <x:c r="F8" s="28"/>
      <x:c r="G8" s="28"/>
      <x:c r="H8" s="28"/>
      <x:c r="I8" s="28"/>
      <x:c r="J8" s="28"/>
      <x:c r="K8" s="28"/>
      <x:c r="L8" s="28"/>
      <x:c r="M8" s="28"/>
    </x:row>
    <x:row r="9" ht="24" customHeight="1">
      <x:c r="A9" s="28" t="n">
        <x:v>5</x:v>
      </x:c>
      <x:c r="B9" s="28"/>
      <x:c r="C9" s="54"/>
      <x:c r="D9" s="28"/>
      <x:c r="E9" s="28"/>
      <x:c r="F9" s="28"/>
      <x:c r="G9" s="28"/>
      <x:c r="H9" s="28"/>
      <x:c r="I9" s="28"/>
      <x:c r="J9" s="28"/>
      <x:c r="K9" s="28"/>
      <x:c r="L9" s="28"/>
      <x:c r="M9" s="28"/>
    </x:row>
    <x:row r="10" ht="24" customHeight="1">
      <x:c r="A10" s="28" t="n">
        <x:v>6</x:v>
      </x:c>
      <x:c r="B10" s="28"/>
      <x:c r="C10" s="54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</x:row>
    <x:row r="11" ht="24" customHeight="1">
      <x:c r="A11" s="28" t="n">
        <x:v>7</x:v>
      </x:c>
      <x:c r="B11" s="28"/>
      <x:c r="C11" s="54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</x:row>
    <x:row r="12" ht="24" customHeight="1">
      <x:c r="A12" s="28" t="n">
        <x:v>8</x:v>
      </x:c>
      <x:c r="B12" s="28"/>
      <x:c r="C12" s="54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</x:row>
    <x:row r="13" ht="24" customHeight="1">
      <x:c r="A13" s="28" t="n">
        <x:v>9</x:v>
      </x:c>
      <x:c r="B13" s="28"/>
      <x:c r="C13" s="54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</x:row>
    <x:row r="14" ht="24" customHeight="1">
      <x:c r="A14" s="28" t="n">
        <x:v>10</x:v>
      </x:c>
      <x:c r="B14" s="28"/>
      <x:c r="C14" s="54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</x:row>
    <x:row r="15" ht="24" customHeight="1">
      <x:c r="A15" s="28" t="n">
        <x:v>11</x:v>
      </x:c>
      <x:c r="B15" s="28"/>
      <x:c r="C15" s="54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</x:row>
    <x:row r="16" ht="24" customHeight="1">
      <x:c r="A16" s="28" t="n">
        <x:v>12</x:v>
      </x:c>
      <x:c r="B16" s="28"/>
      <x:c r="C16" s="54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</x:row>
    <x:row r="17" ht="24" customHeight="1">
      <x:c r="A17" s="28" t="n">
        <x:v>13</x:v>
      </x:c>
      <x:c r="B17" s="28"/>
      <x:c r="C17" s="54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</x:row>
    <x:row r="18" ht="24" customHeight="1">
      <x:c r="A18" s="28" t="n">
        <x:v>14</x:v>
      </x:c>
      <x:c r="B18" s="28"/>
      <x:c r="C18" s="54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</x:row>
    <x:row r="19" ht="24" customHeight="1">
      <x:c r="A19" s="28" t="n">
        <x:v>15</x:v>
      </x:c>
      <x:c r="B19" s="28"/>
      <x:c r="C19" s="54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</x:row>
    <x:row r="20" ht="24" customHeight="1">
      <x:c r="A20" s="28" t="n">
        <x:v>16</x:v>
      </x:c>
      <x:c r="B20" s="28"/>
      <x:c r="C20" s="54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</x:row>
    <x:row r="21" ht="24" customHeight="1">
      <x:c r="A21" s="28" t="n">
        <x:v>17</x:v>
      </x:c>
      <x:c r="B21" s="28"/>
      <x:c r="C21" s="54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</x:row>
    <x:row r="22" ht="24" customHeight="1">
      <x:c r="A22" s="28" t="n">
        <x:v>18</x:v>
      </x:c>
      <x:c r="B22" s="28"/>
      <x:c r="C22" s="54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</x:row>
    <x:row r="23" ht="24" customHeight="1">
      <x:c r="A23" s="28" t="n">
        <x:v>19</x:v>
      </x:c>
      <x:c r="B23" s="28"/>
      <x:c r="C23" s="54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</x:row>
    <x:row r="24" ht="24" customHeight="1">
      <x:c r="A24" s="28" t="n">
        <x:v>20</x:v>
      </x:c>
      <x:c r="B24" s="28"/>
      <x:c r="C24" s="54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</x:row>
    <x:row r="25" ht="24" customHeight="1">
      <x:c r="A25" s="28" t="n">
        <x:v>21</x:v>
      </x:c>
      <x:c r="B25" s="28"/>
      <x:c r="C25" s="54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</x:row>
    <x:row r="26" ht="24" customHeight="1">
      <x:c r="A26" s="28" t="n">
        <x:v>22</x:v>
      </x:c>
      <x:c r="B26" s="28"/>
      <x:c r="C26" s="54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</x:row>
    <x:row r="27" ht="24" customHeight="1">
      <x:c r="A27" s="28" t="n">
        <x:v>23</x:v>
      </x:c>
      <x:c r="B27" s="28"/>
      <x:c r="C27" s="54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</x:row>
    <x:row r="28" ht="24" customHeight="1">
      <x:c r="A28" s="28" t="n">
        <x:v>24</x:v>
      </x:c>
      <x:c r="B28" s="28"/>
      <x:c r="C28" s="54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</x:row>
    <x:row r="29" ht="24" customHeight="1">
      <x:c r="A29" s="28" t="n">
        <x:v>25</x:v>
      </x:c>
      <x:c r="B29" s="28"/>
      <x:c r="C29" s="54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</x:row>
    <x:row r="30" ht="24" customHeight="1">
      <x:c r="A30" s="28" t="n">
        <x:v>26</x:v>
      </x:c>
      <x:c r="B30" s="28"/>
      <x:c r="C30" s="54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</x:row>
    <x:row r="31" ht="24" customHeight="1">
      <x:c r="A31" s="28" t="n">
        <x:v>27</x:v>
      </x:c>
      <x:c r="B31" s="28"/>
      <x:c r="C31" s="54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</x:row>
    <x:row r="32" ht="24" customHeight="1">
      <x:c r="A32" s="28" t="n">
        <x:v>28</x:v>
      </x:c>
      <x:c r="B32" s="28"/>
      <x:c r="C32" s="54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</x:row>
    <x:row r="33" ht="24" customHeight="1">
      <x:c r="A33" s="28" t="n">
        <x:v>29</x:v>
      </x:c>
      <x:c r="B33" s="28"/>
      <x:c r="C33" s="54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</x:row>
    <x:row r="34" ht="24" customHeight="1">
      <x:c r="A34" s="28" t="n">
        <x:v>30</x:v>
      </x:c>
      <x:c r="B34" s="28"/>
      <x:c r="C34" s="54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</x:row>
    <x:row r="35" ht="24" customHeight="1">
      <x:c r="A35" s="28" t="n">
        <x:v>31</x:v>
      </x:c>
      <x:c r="B35" s="28"/>
      <x:c r="C35" s="54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</x:row>
    <x:row r="36" ht="24" customHeight="1">
      <x:c r="A36" s="28" t="n">
        <x:v>32</x:v>
      </x:c>
      <x:c r="B36" s="28"/>
      <x:c r="C36" s="54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</x:row>
    <x:row r="37" ht="24" customHeight="1">
      <x:c r="A37" s="28" t="n">
        <x:v>33</x:v>
      </x:c>
      <x:c r="B37" s="28"/>
      <x:c r="C37" s="54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</x:row>
    <x:row r="38" ht="24" customHeight="1">
      <x:c r="A38" s="28" t="n">
        <x:v>34</x:v>
      </x:c>
      <x:c r="B38" s="28"/>
      <x:c r="C38" s="54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</x:row>
    <x:row r="39" ht="24" customHeight="1">
      <x:c r="A39" s="28" t="n">
        <x:v>35</x:v>
      </x:c>
      <x:c r="B39" s="28"/>
      <x:c r="C39" s="54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</x:row>
    <x:row r="40" ht="24" customHeight="1">
      <x:c r="A40" s="28" t="n">
        <x:v>36</x:v>
      </x:c>
      <x:c r="B40" s="28"/>
      <x:c r="C40" s="54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</x:row>
    <x:row r="41" ht="24" customHeight="1">
      <x:c r="A41" s="28" t="n">
        <x:v>37</x:v>
      </x:c>
      <x:c r="B41" s="28"/>
      <x:c r="C41" s="54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</x:row>
    <x:row r="42" ht="24" customHeight="1">
      <x:c r="A42" s="28" t="n">
        <x:v>38</x:v>
      </x:c>
      <x:c r="B42" s="28"/>
      <x:c r="C42" s="54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</x:row>
    <x:row r="43" ht="24" customHeight="1">
      <x:c r="A43" s="28" t="n">
        <x:v>39</x:v>
      </x:c>
      <x:c r="B43" s="28"/>
      <x:c r="C43" s="54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</x:row>
    <x:row r="44" ht="24" customHeight="1">
      <x:c r="A44" s="28" t="n">
        <x:v>40</x:v>
      </x:c>
      <x:c r="B44" s="28"/>
      <x:c r="C44" s="54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</x:row>
  </x:sheetData>
  <x:mergeCells>
    <x:mergeCell ref="A1:M1"/>
    <x:mergeCell ref="A2:M2"/>
  </x:mergeCells>
  <x:conditionalFormatting sqref="F5:F44">
    <x:cfRule type="containsText" dxfId="23" priority="1" operator="containsText" text="P0"/>
    <x:cfRule type="containsText" dxfId="24" priority="2" operator="containsText" text="P1"/>
    <x:cfRule type="containsText" dxfId="25" priority="3" operator="containsText" text="P2"/>
  </x:conditionalFormatting>
  <x:conditionalFormatting sqref="G5:G44">
    <x:cfRule type="containsText" dxfId="26" priority="4" operator="containsText" text="是"/>
    <x:cfRule type="containsText" dxfId="27" priority="5" operator="containsText" text="否"/>
  </x:conditionalFormatting>
  <x:dataValidations count="5">
    <x:dataValidation type="list" sqref="B5:B44">
      <x:formula1>"第一轮,第二轮"</x:formula1>
    </x:dataValidation>
    <x:dataValidation type="list" sqref="E5:E44">
      <x:formula1>"微信内置浏览器,iPhone Safari,Android Chromium,平板,桌面浏览器,其他演示设备"</x:formula1>
    </x:dataValidation>
    <x:dataValidation type="list" sqref="F5:F44">
      <x:formula1>"P0,P1,P2"</x:formula1>
    </x:dataValidation>
    <x:dataValidation type="list" sqref="G5:G44">
      <x:formula1>"是,否"</x:formula1>
    </x:dataValidation>
    <x:dataValidation type="list" sqref="L5:L44">
      <x:formula1>"新发现,修复中,已验证,不处理"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a6773fe91845b1"/>
  </x:tableParts>
</x:worksheet>
</file>